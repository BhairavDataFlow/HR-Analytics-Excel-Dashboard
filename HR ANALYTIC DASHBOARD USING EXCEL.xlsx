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7a8a7c3fbba08b6/Documents/"/>
    </mc:Choice>
  </mc:AlternateContent>
  <xr:revisionPtr revIDLastSave="0" documentId="8_{86CEE8B2-9D93-4375-BBC9-7E5F107A2F74}" xr6:coauthVersionLast="47" xr6:coauthVersionMax="47" xr10:uidLastSave="{00000000-0000-0000-0000-000000000000}"/>
  <bookViews>
    <workbookView xWindow="-108" yWindow="-108" windowWidth="23256" windowHeight="12456" firstSheet="5" activeTab="8" xr2:uid="{5AF5D4AF-D10E-435D-ABA8-B0D0494ED23E}"/>
  </bookViews>
  <sheets>
    <sheet name="KPI" sheetId="7" r:id="rId1"/>
    <sheet name="Rating" sheetId="8" r:id="rId2"/>
    <sheet name="Gender and education" sheetId="9" r:id="rId3"/>
    <sheet name="Attrition by job role" sheetId="10" r:id="rId4"/>
    <sheet name="Department wise attrition" sheetId="11" r:id="rId5"/>
    <sheet name="Attrition by age group and MS" sheetId="12" r:id="rId6"/>
    <sheet name="Data" sheetId="1" r:id="rId7"/>
    <sheet name="Images" sheetId="2" r:id="rId8"/>
    <sheet name="Background 2" sheetId="4" r:id="rId9"/>
  </sheets>
  <definedNames>
    <definedName name="_xlchart.v1.0" hidden="1">'Attrition by job role'!$D$4:$D$12</definedName>
    <definedName name="_xlchart.v1.1" hidden="1">'Attrition by job role'!$E$4:$E$12</definedName>
    <definedName name="_xlchart.v1.8" hidden="1">'Attrition by job role'!$D$4:$D$12</definedName>
    <definedName name="_xlchart.v1.9" hidden="1">'Attrition by job role'!$E$4:$E$12</definedName>
    <definedName name="_xlchart.v2.2" hidden="1">'Attrition by age group and MS'!$D$15:$D$17</definedName>
    <definedName name="_xlchart.v2.3" hidden="1">'Attrition by age group and MS'!$E$14</definedName>
    <definedName name="_xlchart.v2.4" hidden="1">'Attrition by age group and MS'!$E$15:$E$17</definedName>
    <definedName name="_xlchart.v2.5" hidden="1">'Attrition by age group and MS'!$D$15:$D$17</definedName>
    <definedName name="_xlchart.v2.6" hidden="1">'Attrition by age group and MS'!$E$14</definedName>
    <definedName name="_xlchart.v2.7" hidden="1">'Attrition by age group and MS'!$E$15:$E$17</definedName>
    <definedName name="Slicer_Department">#N/A</definedName>
    <definedName name="Slicer_Education_Field1">#N/A</definedName>
    <definedName name="Slicer_Gender2">#N/A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6" i="12" l="1"/>
  <c r="D17" i="12"/>
  <c r="D15" i="12"/>
  <c r="D5" i="10"/>
  <c r="D6" i="10"/>
  <c r="D7" i="10"/>
  <c r="D8" i="10"/>
  <c r="D9" i="10"/>
  <c r="D10" i="10"/>
  <c r="D11" i="10"/>
  <c r="D12" i="10"/>
  <c r="D4" i="10"/>
  <c r="E16" i="12"/>
  <c r="E17" i="12"/>
  <c r="E15" i="12"/>
  <c r="E12" i="10"/>
  <c r="E11" i="10"/>
  <c r="E10" i="10"/>
  <c r="E9" i="10"/>
  <c r="E8" i="10"/>
  <c r="E7" i="10"/>
  <c r="E6" i="10"/>
  <c r="E5" i="10"/>
  <c r="E4" i="10"/>
  <c r="B10" i="9"/>
  <c r="B9" i="9"/>
  <c r="B8" i="9"/>
  <c r="B6" i="8"/>
  <c r="C7" i="7"/>
  <c r="B7" i="7"/>
  <c r="A7" i="7"/>
  <c r="C8" i="9" l="1"/>
  <c r="C9" i="9"/>
  <c r="B9" i="8"/>
  <c r="B7" i="8"/>
  <c r="B10" i="8" s="1"/>
  <c r="D7" i="7"/>
  <c r="E7" i="7"/>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<sst xmlns="http://schemas.openxmlformats.org/spreadsheetml/2006/main" count="19217" uniqueCount="1571">
  <si>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</si>
  <si>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</si>
  <si>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</si>
  <si>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</si>
  <si>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</si>
  <si>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</si>
  <si>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</si>
  <si>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</si>
  <si>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</si>
  <si>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</si>
  <si>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</si>
  <si>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</si>
  <si>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</si>
  <si>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</si>
  <si>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</si>
  <si>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</si>
  <si>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</si>
  <si>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</si>
  <si>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</si>
  <si>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</si>
  <si>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</si>
  <si>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</si>
  <si>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</si>
  <si>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</si>
  <si>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</si>
  <si>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</si>
  <si>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</si>
  <si>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</si>
  <si>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</si>
  <si>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</si>
  <si>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</si>
  <si>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</si>
  <si>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</si>
  <si>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</si>
  <si>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</si>
  <si>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</si>
  <si>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</si>
  <si>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</si>
  <si>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</si>
  <si>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</si>
  <si>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</si>
  <si>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</si>
  <si>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</si>
  <si>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</si>
  <si>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</si>
  <si>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</si>
  <si>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</si>
  <si>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</si>
  <si>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</si>
  <si>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</si>
  <si>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</si>
  <si>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</si>
  <si>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</si>
  <si>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</si>
  <si>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</si>
  <si>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</si>
  <si>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</si>
  <si>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</si>
  <si>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</si>
  <si>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</si>
  <si>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</si>
  <si>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</si>
  <si>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</si>
  <si>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</si>
  <si>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</si>
  <si>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</si>
  <si>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</si>
  <si>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</si>
  <si>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</si>
  <si>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</si>
  <si>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</si>
  <si>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</si>
  <si>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</si>
  <si>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</si>
  <si>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</si>
  <si>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</si>
  <si>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</si>
  <si>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</si>
  <si>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</si>
  <si>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</si>
  <si>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</si>
  <si>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</si>
  <si>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</si>
  <si>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</si>
  <si>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</si>
  <si>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</si>
  <si>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</si>
  <si>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</si>
  <si>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</si>
  <si>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</si>
  <si>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</si>
  <si>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</si>
  <si>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</si>
  <si>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</si>
  <si>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</si>
  <si>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</si>
  <si>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</si>
  <si>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</si>
  <si>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</si>
  <si>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</si>
  <si>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</si>
  <si>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</si>
  <si>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</si>
  <si>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</si>
  <si>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</si>
  <si>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</si>
  <si>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</si>
  <si>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</si>
  <si>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</si>
  <si>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</si>
  <si>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</si>
  <si>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</si>
  <si>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</si>
  <si>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</si>
  <si>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</si>
  <si>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</si>
  <si>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</si>
  <si>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</si>
  <si>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</si>
  <si>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</si>
  <si>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</si>
  <si>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</si>
  <si>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</si>
  <si>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</si>
  <si>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</si>
  <si>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</si>
  <si>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</si>
  <si>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</si>
  <si>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</si>
  <si>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</si>
  <si>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</si>
  <si>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</si>
  <si>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</si>
  <si>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</si>
  <si>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</si>
  <si>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</si>
  <si>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</si>
  <si>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</si>
  <si>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</si>
  <si>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</si>
  <si>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</si>
  <si>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</si>
  <si>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</si>
  <si>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</si>
  <si>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</si>
  <si>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</si>
  <si>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</si>
  <si>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</si>
  <si>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</si>
  <si>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</si>
  <si>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</si>
  <si>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</si>
  <si>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</si>
  <si>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</si>
  <si>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</si>
  <si>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</si>
  <si>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</si>
  <si>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</si>
  <si>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</si>
  <si>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</si>
  <si>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</si>
  <si>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</si>
  <si>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</si>
  <si>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</si>
  <si>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</si>
  <si>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</si>
  <si>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</si>
  <si>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</si>
  <si>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</si>
  <si>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</si>
  <si>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</si>
  <si>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</si>
  <si>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</si>
  <si>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</si>
  <si>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</si>
  <si>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</si>
  <si>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</si>
  <si>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</si>
  <si>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</si>
  <si>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</si>
  <si>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</si>
  <si>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</si>
  <si>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</si>
  <si>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</si>
  <si>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</si>
  <si>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</si>
  <si>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</si>
  <si>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</si>
  <si>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</si>
  <si>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</si>
  <si>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</si>
  <si>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</si>
  <si>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</si>
  <si>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</si>
  <si>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</si>
  <si>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</si>
  <si>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</si>
  <si>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</si>
  <si>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</si>
  <si>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</si>
  <si>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</si>
  <si>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</si>
  <si>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</si>
  <si>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</si>
  <si>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</si>
  <si>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</si>
  <si>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</si>
  <si>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</si>
  <si>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</si>
  <si>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</si>
  <si>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</si>
  <si>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</si>
  <si>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</si>
  <si>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</si>
  <si>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</si>
  <si>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</si>
  <si>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</si>
  <si>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</si>
  <si>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</si>
  <si>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</si>
  <si>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</si>
  <si>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</si>
  <si>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</si>
  <si>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</si>
  <si>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</si>
  <si>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</si>
  <si>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</si>
  <si>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</si>
  <si>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</si>
  <si>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</si>
  <si>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</si>
  <si>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</si>
  <si>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</si>
  <si>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</si>
  <si>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</si>
  <si>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</si>
  <si>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</si>
  <si>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</si>
  <si>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</si>
  <si>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</si>
  <si>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</si>
  <si>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</si>
  <si>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</si>
  <si>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</si>
  <si>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</si>
  <si>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</si>
  <si>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</si>
  <si>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</si>
  <si>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</si>
  <si>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</si>
  <si>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</si>
  <si>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</si>
  <si>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</si>
  <si>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</si>
  <si>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</si>
  <si>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</si>
  <si>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</si>
  <si>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</si>
  <si>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</si>
  <si>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</si>
  <si>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</si>
  <si>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</si>
  <si>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</si>
  <si>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</si>
  <si>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</si>
  <si>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</si>
  <si>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</si>
  <si>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</si>
  <si>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</si>
  <si>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</si>
  <si>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</si>
  <si>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</si>
  <si>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</si>
  <si>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</si>
  <si>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</si>
  <si>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</si>
  <si>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</si>
  <si>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</si>
  <si>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</si>
  <si>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</si>
  <si>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</si>
  <si>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</si>
  <si>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</si>
  <si>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</si>
  <si>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</si>
  <si>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</si>
  <si>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</si>
  <si>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</si>
  <si>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</si>
  <si>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</si>
  <si>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</si>
  <si>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</si>
  <si>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</si>
  <si>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</si>
  <si>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</si>
  <si>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</si>
  <si>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</si>
  <si>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</si>
  <si>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</si>
  <si>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</si>
  <si>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</si>
  <si>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</si>
  <si>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</si>
  <si>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</si>
  <si>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</si>
  <si>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</si>
  <si>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</si>
  <si>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</si>
  <si>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</si>
  <si>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</si>
  <si>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</si>
  <si>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</si>
  <si>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</si>
  <si>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</si>
  <si>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</si>
  <si>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</si>
  <si>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</si>
  <si>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</si>
  <si>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</si>
  <si>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</si>
  <si>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</si>
  <si>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</si>
  <si>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</si>
  <si>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</si>
  <si>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</si>
  <si>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</si>
  <si>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</si>
  <si>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</si>
  <si>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</si>
  <si>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</si>
  <si>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</si>
  <si>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</si>
  <si>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</si>
  <si>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</si>
  <si>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</si>
  <si>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</si>
  <si>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</si>
  <si>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</si>
  <si>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</si>
  <si>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</si>
  <si>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</si>
  <si>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</si>
  <si>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</si>
  <si>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</si>
  <si>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</si>
  <si>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</si>
  <si>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</si>
  <si>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</si>
  <si>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</si>
  <si>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</si>
  <si>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</si>
  <si>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</si>
  <si>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</si>
  <si>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</si>
  <si>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</si>
  <si>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</si>
  <si>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</si>
  <si>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</si>
  <si>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</si>
  <si>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</si>
  <si>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</si>
  <si>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</si>
  <si>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</si>
  <si>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</si>
  <si>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</si>
  <si>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</si>
  <si>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</si>
  <si>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</si>
  <si>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</si>
  <si>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</si>
  <si>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</si>
  <si>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</si>
  <si>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</si>
  <si>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</si>
  <si>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</si>
  <si>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</si>
  <si>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</si>
  <si>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</si>
  <si>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</si>
  <si>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</si>
  <si>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</si>
  <si>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</si>
  <si>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</si>
  <si>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</si>
  <si>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</si>
  <si>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</si>
  <si>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</si>
  <si>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</si>
  <si>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</si>
  <si>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</si>
  <si>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</si>
  <si>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</si>
  <si>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</si>
  <si>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</si>
  <si>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</si>
  <si>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</si>
  <si>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</si>
  <si>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</si>
  <si>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</si>
  <si>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</si>
  <si>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</si>
  <si>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</si>
  <si>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</si>
  <si>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</si>
  <si>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</si>
  <si>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</si>
  <si>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</si>
  <si>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</si>
  <si>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</si>
  <si>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</si>
  <si>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</si>
  <si>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</si>
  <si>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</si>
  <si>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</si>
  <si>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</si>
  <si>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</si>
  <si>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</si>
  <si>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</si>
  <si>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</si>
  <si>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</si>
  <si>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</si>
  <si>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</si>
  <si>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</si>
  <si>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</si>
  <si>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</si>
  <si>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</si>
  <si>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</si>
  <si>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</si>
  <si>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</si>
  <si>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</si>
  <si>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</si>
  <si>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</si>
  <si>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</si>
  <si>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</si>
  <si>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</si>
  <si>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</si>
  <si>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</si>
  <si>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</si>
  <si>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</si>
  <si>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</si>
  <si>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</si>
  <si>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</si>
  <si>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</si>
  <si>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</si>
  <si>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</si>
  <si>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</si>
  <si>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</si>
  <si>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</si>
  <si>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</si>
  <si>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</si>
  <si>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</si>
  <si>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</si>
  <si>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</si>
  <si>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</si>
  <si>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</si>
  <si>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</si>
  <si>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</si>
  <si>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</si>
  <si>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</si>
  <si>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</si>
  <si>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</si>
  <si>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</si>
  <si>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</si>
  <si>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</si>
  <si>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</si>
  <si>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</si>
  <si>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</si>
  <si>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</si>
  <si>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</si>
  <si>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</si>
  <si>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</si>
  <si>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</si>
  <si>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</si>
  <si>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</si>
  <si>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</si>
  <si>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</si>
  <si>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</si>
  <si>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</si>
  <si>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</si>
  <si>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</si>
  <si>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</si>
  <si>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</si>
  <si>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</si>
  <si>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</si>
  <si>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</si>
  <si>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</si>
  <si>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</si>
  <si>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</si>
  <si>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</si>
  <si>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</si>
  <si>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</si>
  <si>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</si>
  <si>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</si>
  <si>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</si>
  <si>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</si>
  <si>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</si>
  <si>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</si>
  <si>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</si>
  <si>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</si>
  <si>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</si>
  <si>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</si>
  <si>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</si>
  <si>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</si>
  <si>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</si>
  <si>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</si>
  <si>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</si>
  <si>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</si>
  <si>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</si>
  <si>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</si>
  <si>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</si>
  <si>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</si>
  <si>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</si>
  <si>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</si>
  <si>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</si>
  <si>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</si>
  <si>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</si>
  <si>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</si>
  <si>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</si>
  <si>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</si>
  <si>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</si>
  <si>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</si>
  <si>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</si>
  <si>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</si>
  <si>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</si>
  <si>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</si>
  <si>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</si>
  <si>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</si>
  <si>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</si>
  <si>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</si>
  <si>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</si>
  <si>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</si>
  <si>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</si>
  <si>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</si>
  <si>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</si>
  <si>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</si>
  <si>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</si>
  <si>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</si>
  <si>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</si>
  <si>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</si>
  <si>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</si>
  <si>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</si>
  <si>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</si>
  <si>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</si>
  <si>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</si>
  <si>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</si>
  <si>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</si>
  <si>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</si>
  <si>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</si>
  <si>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</si>
  <si>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</si>
  <si>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</si>
  <si>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</si>
  <si>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</si>
  <si>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</si>
  <si>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</si>
  <si>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</si>
  <si>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</si>
  <si>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</si>
  <si>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</si>
  <si>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</si>
  <si>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</si>
  <si>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</si>
  <si>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</si>
  <si>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</si>
  <si>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</si>
  <si>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</si>
  <si>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</si>
  <si>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</si>
  <si>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</si>
  <si>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</si>
  <si>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</si>
  <si>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</si>
  <si>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</si>
  <si>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</si>
  <si>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</si>
  <si>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</si>
  <si>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</si>
  <si>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</si>
  <si>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</si>
  <si>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</si>
  <si>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</si>
  <si>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</si>
  <si>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</si>
  <si>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</si>
  <si>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</si>
  <si>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</si>
  <si>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</si>
  <si>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</si>
  <si>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</si>
  <si>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</si>
  <si>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</si>
  <si>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</si>
  <si>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</si>
  <si>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</si>
  <si>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</si>
  <si>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</si>
  <si>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</si>
  <si>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</si>
  <si>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</si>
  <si>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</si>
  <si>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</si>
  <si>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</si>
  <si>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</si>
  <si>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</si>
  <si>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</si>
  <si>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</si>
  <si>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</si>
  <si>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</si>
  <si>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</si>
  <si>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</si>
  <si>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</si>
  <si>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</si>
  <si>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</si>
  <si>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</si>
  <si>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</si>
  <si>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</si>
  <si>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</si>
  <si>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</si>
  <si>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</si>
  <si>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</si>
  <si>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</si>
  <si>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</si>
  <si>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</si>
  <si>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</si>
  <si>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</si>
  <si>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</si>
  <si>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</si>
  <si>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</si>
  <si>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</si>
  <si>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</si>
  <si>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</si>
  <si>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</si>
  <si>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</si>
  <si>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</si>
  <si>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</si>
  <si>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</si>
  <si>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</si>
  <si>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</si>
  <si>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</si>
  <si>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</si>
  <si>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</si>
  <si>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</si>
  <si>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</si>
  <si>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</si>
  <si>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</si>
  <si>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</si>
  <si>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</si>
  <si>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</si>
  <si>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</si>
  <si>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</si>
  <si>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</si>
  <si>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</si>
  <si>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</si>
  <si>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</si>
  <si>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</si>
  <si>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</si>
  <si>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</si>
  <si>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</si>
  <si>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</si>
  <si>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</si>
  <si>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</si>
  <si>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</si>
  <si>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</si>
  <si>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</si>
  <si>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</si>
  <si>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</si>
  <si>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</si>
  <si>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</si>
  <si>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</si>
  <si>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</si>
  <si>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</si>
  <si>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</si>
  <si>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</si>
  <si>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</si>
  <si>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</si>
  <si>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</si>
  <si>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</si>
  <si>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</si>
  <si>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</si>
  <si>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</si>
  <si>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</si>
  <si>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</si>
  <si>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</si>
  <si>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</si>
  <si>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</si>
  <si>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</si>
  <si>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</si>
  <si>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</si>
  <si>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</si>
  <si>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</si>
  <si>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</si>
  <si>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</si>
  <si>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</si>
  <si>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</si>
  <si>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</si>
  <si>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</si>
  <si>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</si>
  <si>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</si>
  <si>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</si>
  <si>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</si>
  <si>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</si>
  <si>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</si>
  <si>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</si>
  <si>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</si>
  <si>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</si>
  <si>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</si>
  <si>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</si>
  <si>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</si>
  <si>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</si>
  <si>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</si>
  <si>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</si>
  <si>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</si>
  <si>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</si>
  <si>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</si>
  <si>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</si>
  <si>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</si>
  <si>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</si>
  <si>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</si>
  <si>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</si>
  <si>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</si>
  <si>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</si>
  <si>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</si>
  <si>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</si>
  <si>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</si>
  <si>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</si>
  <si>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</si>
  <si>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</si>
  <si>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</si>
  <si>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</si>
  <si>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</si>
  <si>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</si>
  <si>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</si>
  <si>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</si>
  <si>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</si>
  <si>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</si>
  <si>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</si>
  <si>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</si>
  <si>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</si>
  <si>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</si>
  <si>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</si>
  <si>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</si>
  <si>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</si>
  <si>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</si>
  <si>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</si>
  <si>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</si>
  <si>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</si>
  <si>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</si>
  <si>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</si>
  <si>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</si>
  <si>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</si>
  <si>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</si>
  <si>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</si>
  <si>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</si>
  <si>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</si>
  <si>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</si>
  <si>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</si>
  <si>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</si>
  <si>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</si>
  <si>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</si>
  <si>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</si>
  <si>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</si>
  <si>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</si>
  <si>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</si>
  <si>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</si>
  <si>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</si>
  <si>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</si>
  <si>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</si>
  <si>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</si>
  <si>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</si>
  <si>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</si>
  <si>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</si>
  <si>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</si>
  <si>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</si>
  <si>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</si>
  <si>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</si>
  <si>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</si>
  <si>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</si>
  <si>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</si>
  <si>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</si>
  <si>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</si>
  <si>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</si>
  <si>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</si>
  <si>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</si>
  <si>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</si>
  <si>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</si>
  <si>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</si>
  <si>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</si>
  <si>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</si>
  <si>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</si>
  <si>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</si>
  <si>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</si>
  <si>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</si>
  <si>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</si>
  <si>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</si>
  <si>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</si>
  <si>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</si>
  <si>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</si>
  <si>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</si>
  <si>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</si>
  <si>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</si>
  <si>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</si>
  <si>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</si>
  <si>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</si>
  <si>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</si>
  <si>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</si>
  <si>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</si>
  <si>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</si>
  <si>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</si>
  <si>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</si>
  <si>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</si>
  <si>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</si>
  <si>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</si>
  <si>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</si>
  <si>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</si>
  <si>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</si>
  <si>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</si>
  <si>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</si>
  <si>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</si>
  <si>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</si>
  <si>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</si>
  <si>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</si>
  <si>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</si>
  <si>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</si>
  <si>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</si>
  <si>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</si>
  <si>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</si>
  <si>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</si>
  <si>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</si>
  <si>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</si>
  <si>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</si>
  <si>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</si>
  <si>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</si>
  <si>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</si>
  <si>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</si>
  <si>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</si>
  <si>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</si>
  <si>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</si>
  <si>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</si>
  <si>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</si>
  <si>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</si>
  <si>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</si>
  <si>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</si>
  <si>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</si>
  <si>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</si>
  <si>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</si>
  <si>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</si>
  <si>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</si>
  <si>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</si>
  <si>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</si>
  <si>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</si>
  <si>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</si>
  <si>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</si>
  <si>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</si>
  <si>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</si>
  <si>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</si>
  <si>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</si>
  <si>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</si>
  <si>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</si>
  <si>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</si>
  <si>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</si>
  <si>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</si>
  <si>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</si>
  <si>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</si>
  <si>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</si>
  <si>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</si>
  <si>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</si>
  <si>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</si>
  <si>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</si>
  <si>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</si>
  <si>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</si>
  <si>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</si>
  <si>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</si>
  <si>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</si>
  <si>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</si>
  <si>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</si>
  <si>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</si>
  <si>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</si>
  <si>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</si>
  <si>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</si>
  <si>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</si>
  <si>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</si>
  <si>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</si>
  <si>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</si>
  <si>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</si>
  <si>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</si>
  <si>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</si>
  <si>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</si>
  <si>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</si>
  <si>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</si>
  <si>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</si>
  <si>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</si>
  <si>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</si>
  <si>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</si>
  <si>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</si>
  <si>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</si>
  <si>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</si>
  <si>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</si>
  <si>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</si>
  <si>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</si>
  <si>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</si>
  <si>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</si>
  <si>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</si>
  <si>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</si>
  <si>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</si>
  <si>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</si>
  <si>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</si>
  <si>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</si>
  <si>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</si>
  <si>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</si>
  <si>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</si>
  <si>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</si>
  <si>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</si>
  <si>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</si>
  <si>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</si>
  <si>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</si>
  <si>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</si>
  <si>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</si>
  <si>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</si>
  <si>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</si>
  <si>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</si>
  <si>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</si>
  <si>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</si>
  <si>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</si>
  <si>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</si>
  <si>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</si>
  <si>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</si>
  <si>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</si>
  <si>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</si>
  <si>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</si>
  <si>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</si>
  <si>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</si>
  <si>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</si>
  <si>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</si>
  <si>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</si>
  <si>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</si>
  <si>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</si>
  <si>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</si>
  <si>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</si>
  <si>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</si>
  <si>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</si>
  <si>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</si>
  <si>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</si>
  <si>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</si>
  <si>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</si>
  <si>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</si>
  <si>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</si>
  <si>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</si>
  <si>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</si>
  <si>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</si>
  <si>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</si>
  <si>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</si>
  <si>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</si>
  <si>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</si>
  <si>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</si>
  <si>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</si>
  <si>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</si>
  <si>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</si>
  <si>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</si>
  <si>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</si>
  <si>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</si>
  <si>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</si>
  <si>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</si>
  <si>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</si>
  <si>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</si>
  <si>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</si>
  <si>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</si>
  <si>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</si>
  <si>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</si>
  <si>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</si>
  <si>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</si>
  <si>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</si>
  <si>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</si>
  <si>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</si>
  <si>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</si>
  <si>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</si>
  <si>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</si>
  <si>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</si>
  <si>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</si>
  <si>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</si>
  <si>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</si>
  <si>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</si>
  <si>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</si>
  <si>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</si>
  <si>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</si>
  <si>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</si>
  <si>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</si>
  <si>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</si>
  <si>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</si>
  <si>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</si>
  <si>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</si>
  <si>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</si>
  <si>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</si>
  <si>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</si>
  <si>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</si>
  <si>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</si>
  <si>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</si>
  <si>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</si>
  <si>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</si>
  <si>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</si>
  <si>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</si>
  <si>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</si>
  <si>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</si>
  <si>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</si>
  <si>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</si>
  <si>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</si>
  <si>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</si>
  <si>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</si>
  <si>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</si>
  <si>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</si>
  <si>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</si>
  <si>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</si>
  <si>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</si>
  <si>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</si>
  <si>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</si>
  <si>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</si>
  <si>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</si>
  <si>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</si>
  <si>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</si>
  <si>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</si>
  <si>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</si>
  <si>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</si>
  <si>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</si>
  <si>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</si>
  <si>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</si>
  <si>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</si>
  <si>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</si>
  <si>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</si>
  <si>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</si>
  <si>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</si>
  <si>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</si>
  <si>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</si>
  <si>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</si>
  <si>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</si>
  <si>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</si>
  <si>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</si>
  <si>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</si>
  <si>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</si>
  <si>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</si>
  <si>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</si>
  <si>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</si>
  <si>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</si>
  <si>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</si>
  <si>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</si>
  <si>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</si>
  <si>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</si>
  <si>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</si>
  <si>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</si>
  <si>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</si>
  <si>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</si>
  <si>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</si>
  <si>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</si>
  <si>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</si>
  <si>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</si>
  <si>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</si>
  <si>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</si>
  <si>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</si>
  <si>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</si>
  <si>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</si>
  <si>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</si>
  <si>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</si>
  <si>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</si>
  <si>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</si>
  <si>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</si>
  <si>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</si>
  <si>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</si>
  <si>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</si>
  <si>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</si>
  <si>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</si>
  <si>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</si>
  <si>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</si>
  <si>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</si>
  <si>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</si>
  <si>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</si>
  <si>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</si>
  <si>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</si>
  <si>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</si>
  <si>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</si>
  <si>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</si>
  <si>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</si>
  <si>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</si>
  <si>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</si>
  <si>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</si>
  <si>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</si>
  <si>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</si>
  <si>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</si>
  <si>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</si>
  <si>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</si>
  <si>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</si>
  <si>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</si>
  <si>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</si>
  <si>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</si>
  <si>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</si>
  <si>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</si>
  <si>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</si>
  <si>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</si>
  <si>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</si>
  <si>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</si>
  <si>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</si>
  <si>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</si>
  <si>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</si>
  <si>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</si>
  <si>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</si>
  <si>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</si>
  <si>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</si>
  <si>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</si>
  <si>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</si>
  <si>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</si>
  <si>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</si>
  <si>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</si>
  <si>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</si>
  <si>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</si>
  <si>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</si>
  <si>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</si>
  <si>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</si>
  <si>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</si>
  <si>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</si>
  <si>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</si>
  <si>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</si>
  <si>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</si>
  <si>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</si>
  <si>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</si>
  <si>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</si>
  <si>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</si>
  <si>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</si>
  <si>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</si>
  <si>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</si>
  <si>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</si>
  <si>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</si>
  <si>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</si>
  <si>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</si>
  <si>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</si>
  <si>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</si>
  <si>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</si>
  <si>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</si>
  <si>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</si>
  <si>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</si>
  <si>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</si>
  <si>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</si>
  <si>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</si>
  <si>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</si>
  <si>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</si>
  <si>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</si>
  <si>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</si>
  <si>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</si>
  <si>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</si>
  <si>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</si>
  <si>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</si>
  <si>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</si>
  <si>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</si>
  <si>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</si>
  <si>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</si>
  <si>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</si>
  <si>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</si>
  <si>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</si>
  <si>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</si>
  <si>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</si>
  <si>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</si>
  <si>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</si>
  <si>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</si>
  <si>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</si>
  <si>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</si>
  <si>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</si>
  <si>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</si>
  <si>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</si>
  <si>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</si>
  <si>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</si>
  <si>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</si>
  <si>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</si>
  <si>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</si>
  <si>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</si>
  <si>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</si>
  <si>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</si>
  <si>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</si>
  <si>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</si>
  <si>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</si>
  <si>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</si>
  <si>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</si>
  <si>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</si>
  <si>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</si>
  <si>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</si>
  <si>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</si>
  <si>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</si>
  <si>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</si>
  <si>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</si>
  <si>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</si>
  <si>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</si>
  <si>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</si>
  <si>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</si>
  <si>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</si>
  <si>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</si>
  <si>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</si>
  <si>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</si>
  <si>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</si>
  <si>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</si>
  <si>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</si>
  <si>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</si>
  <si>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</si>
  <si>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</si>
  <si>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</si>
  <si>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</si>
  <si>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</si>
  <si>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</si>
  <si>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</si>
  <si>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</si>
  <si>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</si>
  <si>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</si>
  <si>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</si>
  <si>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</si>
  <si>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</si>
  <si>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</si>
  <si>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</si>
  <si>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</si>
  <si>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</si>
  <si>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</si>
  <si>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</si>
  <si>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</si>
  <si>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</si>
  <si>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</si>
  <si>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</si>
  <si>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</si>
  <si>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</si>
  <si>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</si>
  <si>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</si>
  <si>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</si>
  <si>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</si>
  <si>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</si>
  <si>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</si>
  <si>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</si>
  <si>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</si>
  <si>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</si>
  <si>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</si>
  <si>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</si>
  <si>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</si>
  <si>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</si>
  <si>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</si>
  <si>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</si>
  <si>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</si>
  <si>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</si>
  <si>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</si>
  <si>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</si>
  <si>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</si>
  <si>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</si>
  <si>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</si>
  <si>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</si>
  <si>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</si>
  <si>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</si>
  <si>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</si>
  <si>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</si>
  <si>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</si>
  <si>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</si>
  <si>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</si>
  <si>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</si>
  <si>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</si>
  <si>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</si>
  <si>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</si>
  <si>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</si>
  <si>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</si>
  <si>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</si>
  <si>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</si>
  <si>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</si>
  <si>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</si>
  <si>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</si>
  <si>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</si>
  <si>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</si>
  <si>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</si>
  <si>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</si>
  <si>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</si>
  <si>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</si>
  <si>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</si>
  <si>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</si>
  <si>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</si>
  <si>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</si>
  <si>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</si>
  <si>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</si>
  <si>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</si>
  <si>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</si>
  <si>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</si>
  <si>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</si>
  <si>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</si>
  <si>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</si>
  <si>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</si>
  <si>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</si>
  <si>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</si>
  <si>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</si>
  <si>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</si>
  <si>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</si>
  <si>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</si>
  <si>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</si>
  <si>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</si>
  <si>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</si>
  <si>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</si>
  <si>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</si>
  <si>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</si>
  <si>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</si>
  <si>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</si>
  <si>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</si>
  <si>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</si>
  <si>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</si>
  <si>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</si>
  <si>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</si>
  <si>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</si>
  <si>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</si>
  <si>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</si>
  <si>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</si>
  <si>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</si>
  <si>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</si>
  <si>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</si>
  <si>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</si>
  <si>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</si>
  <si>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</si>
  <si>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</si>
  <si>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</si>
  <si>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</si>
  <si>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</si>
  <si>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</si>
  <si>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</si>
  <si>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</si>
  <si>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</si>
  <si>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</si>
  <si>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</si>
  <si>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</si>
  <si>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</si>
  <si>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</si>
  <si>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</si>
  <si>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</si>
  <si>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</si>
  <si>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</si>
  <si>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</si>
  <si>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</si>
  <si>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</si>
  <si>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</si>
  <si>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</si>
  <si>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</si>
  <si>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</si>
  <si>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</si>
  <si>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</si>
  <si>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</si>
  <si>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</si>
  <si>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</si>
  <si>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</si>
  <si>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</si>
  <si>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</si>
  <si>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</si>
  <si>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</si>
  <si>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</si>
  <si>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</si>
  <si>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</si>
  <si>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</si>
  <si>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</si>
  <si>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</si>
  <si>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</si>
  <si>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</si>
  <si>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</si>
  <si>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</si>
  <si>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</si>
  <si>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</si>
  <si>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</si>
  <si>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</si>
  <si>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</si>
  <si>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</si>
  <si>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</si>
  <si>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</si>
  <si>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</si>
  <si>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</si>
  <si>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</si>
  <si>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</si>
  <si>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</si>
  <si>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</si>
  <si>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</si>
  <si>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</si>
  <si>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</si>
  <si>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</si>
  <si>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</si>
  <si>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</si>
  <si>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</si>
  <si>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</si>
  <si>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</si>
  <si>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</si>
  <si>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</si>
  <si>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</si>
  <si>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</si>
  <si>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</si>
  <si>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</si>
  <si>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</si>
  <si>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</si>
  <si>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</si>
  <si>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</si>
  <si>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</si>
  <si>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</si>
  <si>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</si>
  <si>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</si>
  <si>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</si>
  <si>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</si>
  <si>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</si>
  <si>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</si>
  <si>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</si>
  <si>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</si>
  <si>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</si>
  <si>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</si>
  <si>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</si>
  <si>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</si>
  <si>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</si>
  <si>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</si>
  <si>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</si>
  <si>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</si>
  <si>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</si>
  <si>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</si>
  <si>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</si>
  <si>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</si>
  <si>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</si>
  <si>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</si>
  <si>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</si>
  <si>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</si>
  <si>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</si>
  <si>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</si>
  <si>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</si>
  <si>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</si>
  <si>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</si>
  <si>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</si>
  <si>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</si>
  <si>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</si>
  <si>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</si>
  <si>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</si>
  <si>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</si>
  <si>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</si>
  <si>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</si>
  <si>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</si>
  <si>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</si>
  <si>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</si>
  <si>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</si>
  <si>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</si>
  <si>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</si>
  <si>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</si>
  <si>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</si>
  <si>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</si>
  <si>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</si>
  <si>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</si>
  <si>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</si>
  <si>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</si>
  <si>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</si>
  <si>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</si>
  <si>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</si>
  <si>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</si>
  <si>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</si>
  <si>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</si>
  <si>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</si>
  <si>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</si>
  <si>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</si>
  <si>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</si>
  <si>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</si>
  <si>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</si>
  <si>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</si>
  <si>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</si>
  <si>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</si>
  <si>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</si>
  <si>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</si>
  <si>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</si>
  <si>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</si>
  <si>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</si>
  <si>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</si>
  <si>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</si>
  <si>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</si>
  <si>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</si>
  <si>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</si>
  <si>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</si>
  <si>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</si>
  <si>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</si>
  <si>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</si>
  <si>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</si>
  <si>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</si>
  <si>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</si>
  <si>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</si>
  <si>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</si>
  <si>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</si>
  <si>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</si>
  <si>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</si>
  <si>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</si>
  <si>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</si>
  <si>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</si>
  <si>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</si>
  <si>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</si>
  <si>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</si>
  <si>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</si>
  <si>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</si>
  <si>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</si>
  <si>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</si>
  <si>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</si>
  <si>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</si>
  <si>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</si>
  <si>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</si>
  <si>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</si>
  <si>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</si>
  <si>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</si>
  <si>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</si>
  <si>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</si>
  <si>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</si>
  <si>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</si>
  <si>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</si>
  <si>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</si>
  <si>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</si>
  <si>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</si>
  <si>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</si>
  <si>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</si>
  <si>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</si>
  <si>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</si>
  <si>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</si>
  <si>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</si>
  <si>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</si>
  <si>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</si>
  <si>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</si>
  <si>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</si>
  <si>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</si>
  <si>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</si>
  <si>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</si>
  <si>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</si>
  <si>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</si>
  <si>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</si>
  <si>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</si>
  <si>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</si>
  <si>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</si>
  <si>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</si>
  <si>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</si>
  <si>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</si>
  <si>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</si>
  <si>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</si>
  <si>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</si>
  <si>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</si>
  <si>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</si>
  <si>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</si>
  <si>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</si>
  <si>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</si>
  <si>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</si>
  <si>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</si>
  <si>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</si>
  <si>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</si>
  <si>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</si>
  <si>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</si>
  <si>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</si>
  <si>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</si>
  <si>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</si>
  <si>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</si>
  <si>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</si>
  <si>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</si>
  <si>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</si>
  <si>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</si>
  <si>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</si>
  <si>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</si>
  <si>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</si>
  <si>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</si>
  <si>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</si>
  <si>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</si>
  <si>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</si>
  <si>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</si>
  <si>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</si>
  <si>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</si>
  <si>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</si>
  <si>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</si>
  <si>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</si>
  <si>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</si>
  <si>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</si>
  <si>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</si>
  <si>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Atrrition Rate</t>
  </si>
  <si>
    <t>Average of Job Satisfaction</t>
  </si>
  <si>
    <t>Rating</t>
  </si>
  <si>
    <t>Balance Rating</t>
  </si>
  <si>
    <t>percentage rating</t>
  </si>
  <si>
    <t>Row Labels</t>
  </si>
  <si>
    <t>Grand Total</t>
  </si>
  <si>
    <t>Count of Employee Count</t>
  </si>
  <si>
    <t>Count of Attrition</t>
  </si>
  <si>
    <t xml:space="preserve">Job Role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</si>
</sst>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2">
    <dxf>
      <numFmt numFmtId="164" formatCode="0.0"/>
    </dxf>
    <dxf>
      <font>
        <color theme="0"/>
      </font>
      <fill>
        <patternFill>
          <bgColor theme="0" tint="-4.9989318521683403E-2"/>
        </patternFill>
      </fill>
    </dxf>
  </dxfs>
  <tableStyles count="1" defaultTableStyle="TableStyleMedium2" defaultPivotStyle="PivotStyleLight16">
    <tableStyle name="Slicer1" pivot="0" table="0" count="4" xr9:uid="{1E416E06-E00D-4F76-BA8D-EE573B6D0A76}">
      <tableStyleElement type="wholeTable" dxfId="1"/>
    </tableStyle>
  </tableStyles>
  <colors>
    <mruColors>
      <color rgb="FF97450D"/>
      <color rgb="FF6B3109"/>
      <color rgb="FF8A0000"/>
      <color rgb="FF001D58"/>
      <color rgb="FF949494"/>
      <color rgb="FF220000"/>
      <color rgb="FF5D9CD5"/>
      <color rgb="FFAE78D6"/>
      <color rgb="FF003BB0"/>
      <color rgb="FF9432D6"/>
    </mruColors>
  </colors>
  <extLst>
    <ext xmlns:x14="http://schemas.microsoft.com/office/spreadsheetml/2009/9/main" uri="{46F421CA-312F-682f-3DD2-61675219B42D}">
      <x14:dxfs count="3">
        <dxf>
          <fill>
            <gradientFill>
              <stop position="0">
                <color theme="2" tint="-0.74901577806939912"/>
              </stop>
              <stop position="1">
                <color theme="0" tint="-0.34900967436750391"/>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20-4B2F-9DA6-B8F1F92D9F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0-4B2F-9DA6-B8F1F92D9F59}"/>
              </c:ext>
            </c:extLst>
          </c:dPt>
          <c:val>
            <c:numRef>
              <c:f>Rating!$B$9:$B$10</c:f>
              <c:numCache>
                <c:formatCode>General</c:formatCode>
                <c:ptCount val="2"/>
                <c:pt idx="0">
                  <c:v>0.65663265306122454</c:v>
                </c:pt>
                <c:pt idx="1">
                  <c:v>0.34336734693877546</c:v>
                </c:pt>
              </c:numCache>
            </c:numRef>
          </c:val>
          <c:extLst>
            <c:ext xmlns:c16="http://schemas.microsoft.com/office/drawing/2014/chart" uri="{C3380CC4-5D6E-409C-BE32-E72D297353CC}">
              <c16:uniqueId val="{00000000-4E83-44C1-8000-F00227C0E28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DF7-4540-A433-179F7354F70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DF7-4540-A433-179F7354F700}"/>
            </c:ext>
          </c:extLst>
        </c:ser>
        <c:dLbls>
          <c:showLegendKey val="0"/>
          <c:showVal val="0"/>
          <c:showCatName val="0"/>
          <c:showSerName val="0"/>
          <c:showPercent val="0"/>
          <c:showBubbleSize val="0"/>
        </c:dLbls>
        <c:gapWidth val="0"/>
        <c:overlap val="100"/>
        <c:axId val="250562831"/>
        <c:axId val="241500111"/>
      </c:barChart>
      <c:catAx>
        <c:axId val="250562831"/>
        <c:scaling>
          <c:orientation val="minMax"/>
        </c:scaling>
        <c:delete val="1"/>
        <c:axPos val="l"/>
        <c:majorTickMark val="out"/>
        <c:minorTickMark val="none"/>
        <c:tickLblPos val="nextTo"/>
        <c:crossAx val="241500111"/>
        <c:crosses val="autoZero"/>
        <c:auto val="1"/>
        <c:lblAlgn val="ctr"/>
        <c:lblOffset val="100"/>
        <c:noMultiLvlLbl val="0"/>
      </c:catAx>
      <c:valAx>
        <c:axId val="241500111"/>
        <c:scaling>
          <c:orientation val="minMax"/>
          <c:max val="4"/>
        </c:scaling>
        <c:delete val="1"/>
        <c:axPos val="b"/>
        <c:numFmt formatCode="0.0" sourceLinked="1"/>
        <c:majorTickMark val="out"/>
        <c:minorTickMark val="none"/>
        <c:tickLblPos val="nextTo"/>
        <c:crossAx val="25056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43-40E4-A2A5-3011C0997E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43-40E4-A2A5-3011C0997E27}"/>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0-2FAD-407D-9470-5585787AFEA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EXCEL.xlsx]Gender and education!Education 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and education'!$B$16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1EA-44D7-8B4E-D8AB375D21DC}"/>
            </c:ext>
          </c:extLst>
        </c:ser>
        <c:dLbls>
          <c:dLblPos val="outEnd"/>
          <c:showLegendKey val="0"/>
          <c:showVal val="1"/>
          <c:showCatName val="0"/>
          <c:showSerName val="0"/>
          <c:showPercent val="0"/>
          <c:showBubbleSize val="0"/>
        </c:dLbls>
        <c:gapWidth val="182"/>
        <c:axId val="613759711"/>
        <c:axId val="241476591"/>
      </c:barChart>
      <c:catAx>
        <c:axId val="613759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6591"/>
        <c:crosses val="autoZero"/>
        <c:auto val="1"/>
        <c:lblAlgn val="ctr"/>
        <c:lblOffset val="100"/>
        <c:noMultiLvlLbl val="0"/>
      </c:catAx>
      <c:valAx>
        <c:axId val="241476591"/>
        <c:scaling>
          <c:orientation val="minMax"/>
        </c:scaling>
        <c:delete val="1"/>
        <c:axPos val="b"/>
        <c:numFmt formatCode="General" sourceLinked="1"/>
        <c:majorTickMark val="out"/>
        <c:minorTickMark val="none"/>
        <c:tickLblPos val="nextTo"/>
        <c:crossAx val="61375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D-40AF-B8B2-F069F8287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D-40AF-B8B2-F069F8287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AD-40AF-B8B2-F069F82876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0C3-4ACD-B8F3-EC68E3E1D9C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EXCEL.xlsx]Attrition by age group and MS!Attrition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93D-4CDB-9B66-4709B4E8FD47}"/>
            </c:ext>
          </c:extLst>
        </c:ser>
        <c:dLbls>
          <c:dLblPos val="outEnd"/>
          <c:showLegendKey val="0"/>
          <c:showVal val="1"/>
          <c:showCatName val="0"/>
          <c:showSerName val="0"/>
          <c:showPercent val="0"/>
          <c:showBubbleSize val="0"/>
        </c:dLbls>
        <c:gapWidth val="219"/>
        <c:overlap val="-27"/>
        <c:axId val="606786559"/>
        <c:axId val="1136685151"/>
      </c:barChart>
      <c:catAx>
        <c:axId val="6067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685151"/>
        <c:crosses val="autoZero"/>
        <c:auto val="1"/>
        <c:lblAlgn val="ctr"/>
        <c:lblOffset val="100"/>
        <c:noMultiLvlLbl val="0"/>
      </c:catAx>
      <c:valAx>
        <c:axId val="1136685151"/>
        <c:scaling>
          <c:orientation val="minMax"/>
        </c:scaling>
        <c:delete val="1"/>
        <c:axPos val="l"/>
        <c:numFmt formatCode="General" sourceLinked="1"/>
        <c:majorTickMark val="none"/>
        <c:minorTickMark val="none"/>
        <c:tickLblPos val="nextTo"/>
        <c:crossAx val="6067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11D7-4B3E-83B4-07D1D40A088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11D7-4B3E-83B4-07D1D40A0885}"/>
              </c:ext>
            </c:extLst>
          </c:dPt>
          <c:val>
            <c:numRef>
              <c:f>Rating!$B$9:$B$10</c:f>
              <c:numCache>
                <c:formatCode>General</c:formatCode>
                <c:ptCount val="2"/>
                <c:pt idx="0">
                  <c:v>0.65663265306122454</c:v>
                </c:pt>
                <c:pt idx="1">
                  <c:v>0.34336734693877546</c:v>
                </c:pt>
              </c:numCache>
            </c:numRef>
          </c:val>
          <c:extLst>
            <c:ext xmlns:c16="http://schemas.microsoft.com/office/drawing/2014/chart" uri="{C3380CC4-5D6E-409C-BE32-E72D297353CC}">
              <c16:uniqueId val="{00000004-11D7-4B3E-83B4-07D1D40A088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8A1-480D-88BB-750122EA52C8}"/>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8A1-480D-88BB-750122EA52C8}"/>
            </c:ext>
          </c:extLst>
        </c:ser>
        <c:dLbls>
          <c:showLegendKey val="0"/>
          <c:showVal val="0"/>
          <c:showCatName val="0"/>
          <c:showSerName val="0"/>
          <c:showPercent val="0"/>
          <c:showBubbleSize val="0"/>
        </c:dLbls>
        <c:gapWidth val="0"/>
        <c:overlap val="100"/>
        <c:axId val="250562831"/>
        <c:axId val="241500111"/>
      </c:barChart>
      <c:catAx>
        <c:axId val="250562831"/>
        <c:scaling>
          <c:orientation val="minMax"/>
        </c:scaling>
        <c:delete val="1"/>
        <c:axPos val="l"/>
        <c:majorTickMark val="out"/>
        <c:minorTickMark val="none"/>
        <c:tickLblPos val="nextTo"/>
        <c:crossAx val="241500111"/>
        <c:crosses val="autoZero"/>
        <c:auto val="1"/>
        <c:lblAlgn val="ctr"/>
        <c:lblOffset val="100"/>
        <c:noMultiLvlLbl val="0"/>
      </c:catAx>
      <c:valAx>
        <c:axId val="241500111"/>
        <c:scaling>
          <c:orientation val="minMax"/>
          <c:max val="4"/>
        </c:scaling>
        <c:delete val="1"/>
        <c:axPos val="b"/>
        <c:numFmt formatCode="0.0" sourceLinked="1"/>
        <c:majorTickMark val="out"/>
        <c:minorTickMark val="none"/>
        <c:tickLblPos val="nextTo"/>
        <c:crossAx val="25056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AE78D6"/>
                  </a:gs>
                  <a:gs pos="100000">
                    <a:srgbClr val="002060"/>
                  </a:gs>
                </a:gsLst>
                <a:lin ang="10800000" scaled="0"/>
              </a:gradFill>
              <a:ln w="19050">
                <a:noFill/>
              </a:ln>
              <a:effectLst/>
            </c:spPr>
            <c:extLst>
              <c:ext xmlns:c16="http://schemas.microsoft.com/office/drawing/2014/chart" uri="{C3380CC4-5D6E-409C-BE32-E72D297353CC}">
                <c16:uniqueId val="{00000001-270F-4E5C-9EAF-CFA4F4E4D3F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270F-4E5C-9EAF-CFA4F4E4D3F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4-270F-4E5C-9EAF-CFA4F4E4D3F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D6F1-4099-BF69-3F76B5FC3BA2}"/>
              </c:ext>
            </c:extLst>
          </c:dPt>
          <c:dPt>
            <c:idx val="1"/>
            <c:bubble3D val="0"/>
            <c:spPr>
              <a:gradFill>
                <a:gsLst>
                  <a:gs pos="0">
                    <a:schemeClr val="accent1">
                      <a:lumMod val="50000"/>
                    </a:schemeClr>
                  </a:gs>
                  <a:gs pos="100000">
                    <a:srgbClr val="5D9CD5"/>
                  </a:gs>
                </a:gsLst>
                <a:lin ang="10800000" scaled="0"/>
              </a:gradFill>
              <a:ln w="19050">
                <a:noFill/>
              </a:ln>
              <a:effectLst/>
            </c:spPr>
            <c:extLst>
              <c:ext xmlns:c16="http://schemas.microsoft.com/office/drawing/2014/chart" uri="{C3380CC4-5D6E-409C-BE32-E72D297353CC}">
                <c16:uniqueId val="{00000003-D6F1-4099-BF69-3F76B5FC3BA2}"/>
              </c:ext>
            </c:extLst>
          </c:dPt>
          <c:val>
            <c:numRef>
              <c:f>'Gender and education'!$C$8:$C$9</c:f>
              <c:numCache>
                <c:formatCode>0%</c:formatCode>
                <c:ptCount val="2"/>
                <c:pt idx="0">
                  <c:v>0.4</c:v>
                </c:pt>
                <c:pt idx="1">
                  <c:v>0.6</c:v>
                </c:pt>
              </c:numCache>
            </c:numRef>
          </c:val>
          <c:extLst>
            <c:ext xmlns:c16="http://schemas.microsoft.com/office/drawing/2014/chart" uri="{C3380CC4-5D6E-409C-BE32-E72D297353CC}">
              <c16:uniqueId val="{00000004-D6F1-4099-BF69-3F76B5FC3BA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EXCEL.xlsx]Gender and education!Education wise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95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95000">
                <a:schemeClr val="accent2">
                  <a:lumMod val="50000"/>
                </a:schemeClr>
              </a:gs>
            </a:gsLst>
            <a:lin ang="0" scaled="0"/>
          </a:gradFill>
          <a:ln>
            <a:noFill/>
          </a:ln>
          <a:effectLst/>
        </c:spPr>
      </c:pivotFmt>
    </c:pivotFmts>
    <c:plotArea>
      <c:layout/>
      <c:barChart>
        <c:barDir val="bar"/>
        <c:grouping val="clustered"/>
        <c:varyColors val="0"/>
        <c:ser>
          <c:idx val="0"/>
          <c:order val="0"/>
          <c:tx>
            <c:strRef>
              <c:f>'Gender and education'!$B$16</c:f>
              <c:strCache>
                <c:ptCount val="1"/>
                <c:pt idx="0">
                  <c:v>Total</c:v>
                </c:pt>
              </c:strCache>
            </c:strRef>
          </c:tx>
          <c:spPr>
            <a:gradFill>
              <a:gsLst>
                <a:gs pos="0">
                  <a:schemeClr val="accent6">
                    <a:lumMod val="50000"/>
                  </a:schemeClr>
                </a:gs>
                <a:gs pos="95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5C9-4E0B-906F-04927CD07B37}"/>
            </c:ext>
          </c:extLst>
        </c:ser>
        <c:dLbls>
          <c:dLblPos val="outEnd"/>
          <c:showLegendKey val="0"/>
          <c:showVal val="1"/>
          <c:showCatName val="0"/>
          <c:showSerName val="0"/>
          <c:showPercent val="0"/>
          <c:showBubbleSize val="0"/>
        </c:dLbls>
        <c:gapWidth val="75"/>
        <c:axId val="613759711"/>
        <c:axId val="241476591"/>
      </c:barChart>
      <c:catAx>
        <c:axId val="613759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241476591"/>
        <c:crosses val="autoZero"/>
        <c:auto val="1"/>
        <c:lblAlgn val="ctr"/>
        <c:lblOffset val="100"/>
        <c:noMultiLvlLbl val="0"/>
      </c:catAx>
      <c:valAx>
        <c:axId val="241476591"/>
        <c:scaling>
          <c:orientation val="minMax"/>
        </c:scaling>
        <c:delete val="1"/>
        <c:axPos val="b"/>
        <c:numFmt formatCode="General" sourceLinked="1"/>
        <c:majorTickMark val="out"/>
        <c:minorTickMark val="none"/>
        <c:tickLblPos val="nextTo"/>
        <c:crossAx val="61375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lumMod val="85000"/>
              </a:schemeClr>
            </a:solidFill>
          </a:ln>
          <a:effectLst/>
        </c:spPr>
      </c:pivotFmt>
      <c:pivotFmt>
        <c:idx val="7"/>
        <c:spPr>
          <a:gradFill>
            <a:gsLst>
              <a:gs pos="0">
                <a:srgbClr val="949494"/>
              </a:gs>
              <a:gs pos="95000">
                <a:srgbClr val="001D58"/>
              </a:gs>
            </a:gsLst>
            <a:lin ang="0" scaled="0"/>
          </a:gradFill>
          <a:ln w="12700">
            <a:solidFill>
              <a:schemeClr val="bg1">
                <a:lumMod val="85000"/>
              </a:schemeClr>
            </a:solidFill>
          </a:ln>
          <a:effectLst/>
        </c:spPr>
      </c:pivotFmt>
      <c:pivotFmt>
        <c:idx val="8"/>
        <c:spPr>
          <a:gradFill>
            <a:gsLst>
              <a:gs pos="0">
                <a:srgbClr val="949494"/>
              </a:gs>
              <a:gs pos="95000">
                <a:srgbClr val="8A0000"/>
              </a:gs>
            </a:gsLst>
            <a:lin ang="0" scaled="0"/>
          </a:gradFill>
          <a:ln w="1270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85000"/>
                </a:schemeClr>
              </a:solidFill>
            </a:ln>
          </c:spPr>
          <c:dPt>
            <c:idx val="0"/>
            <c:bubble3D val="0"/>
            <c:spPr>
              <a:solidFill>
                <a:schemeClr val="accent5">
                  <a:lumMod val="75000"/>
                </a:schemeClr>
              </a:solidFill>
              <a:ln w="12700">
                <a:solidFill>
                  <a:schemeClr val="bg1">
                    <a:lumMod val="85000"/>
                  </a:schemeClr>
                </a:solidFill>
              </a:ln>
              <a:effectLst/>
            </c:spPr>
            <c:extLst>
              <c:ext xmlns:c16="http://schemas.microsoft.com/office/drawing/2014/chart" uri="{C3380CC4-5D6E-409C-BE32-E72D297353CC}">
                <c16:uniqueId val="{00000001-F1B4-4F6C-85C5-8D163FF0E253}"/>
              </c:ext>
            </c:extLst>
          </c:dPt>
          <c:dPt>
            <c:idx val="1"/>
            <c:bubble3D val="0"/>
            <c:spPr>
              <a:gradFill>
                <a:gsLst>
                  <a:gs pos="0">
                    <a:srgbClr val="949494"/>
                  </a:gs>
                  <a:gs pos="95000">
                    <a:srgbClr val="001D58"/>
                  </a:gs>
                </a:gsLst>
                <a:lin ang="0" scaled="0"/>
              </a:gradFill>
              <a:ln w="12700">
                <a:solidFill>
                  <a:schemeClr val="bg1">
                    <a:lumMod val="85000"/>
                  </a:schemeClr>
                </a:solidFill>
              </a:ln>
              <a:effectLst/>
            </c:spPr>
            <c:extLst>
              <c:ext xmlns:c16="http://schemas.microsoft.com/office/drawing/2014/chart" uri="{C3380CC4-5D6E-409C-BE32-E72D297353CC}">
                <c16:uniqueId val="{00000003-F1B4-4F6C-85C5-8D163FF0E253}"/>
              </c:ext>
            </c:extLst>
          </c:dPt>
          <c:dPt>
            <c:idx val="2"/>
            <c:bubble3D val="0"/>
            <c:spPr>
              <a:gradFill>
                <a:gsLst>
                  <a:gs pos="0">
                    <a:srgbClr val="949494"/>
                  </a:gs>
                  <a:gs pos="95000">
                    <a:srgbClr val="8A0000"/>
                  </a:gs>
                </a:gsLst>
                <a:lin ang="0" scaled="0"/>
              </a:gradFill>
              <a:ln w="12700">
                <a:solidFill>
                  <a:schemeClr val="bg1">
                    <a:lumMod val="85000"/>
                  </a:schemeClr>
                </a:solidFill>
              </a:ln>
              <a:effectLst/>
            </c:spPr>
            <c:extLst>
              <c:ext xmlns:c16="http://schemas.microsoft.com/office/drawing/2014/chart" uri="{C3380CC4-5D6E-409C-BE32-E72D297353CC}">
                <c16:uniqueId val="{00000005-F1B4-4F6C-85C5-8D163FF0E25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1B4-4F6C-85C5-8D163FF0E2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EXCEL.xlsx]Attrition by age group and MS!Attrition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50000"/>
                </a:schemeClr>
              </a:gs>
              <a:gs pos="95000">
                <a:srgbClr val="97450D"/>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gradFill>
              <a:gsLst>
                <a:gs pos="0">
                  <a:schemeClr val="bg1">
                    <a:lumMod val="50000"/>
                  </a:schemeClr>
                </a:gs>
                <a:gs pos="95000">
                  <a:srgbClr val="97450D"/>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411-4D63-8858-5E1E34724A7F}"/>
            </c:ext>
          </c:extLst>
        </c:ser>
        <c:dLbls>
          <c:dLblPos val="outEnd"/>
          <c:showLegendKey val="0"/>
          <c:showVal val="1"/>
          <c:showCatName val="0"/>
          <c:showSerName val="0"/>
          <c:showPercent val="0"/>
          <c:showBubbleSize val="0"/>
        </c:dLbls>
        <c:gapWidth val="107"/>
        <c:overlap val="-27"/>
        <c:axId val="606786559"/>
        <c:axId val="1136685151"/>
      </c:barChart>
      <c:catAx>
        <c:axId val="6067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136685151"/>
        <c:crosses val="autoZero"/>
        <c:auto val="1"/>
        <c:lblAlgn val="ctr"/>
        <c:lblOffset val="100"/>
        <c:noMultiLvlLbl val="0"/>
      </c:catAx>
      <c:valAx>
        <c:axId val="1136685151"/>
        <c:scaling>
          <c:orientation val="minMax"/>
        </c:scaling>
        <c:delete val="1"/>
        <c:axPos val="l"/>
        <c:numFmt formatCode="General" sourceLinked="1"/>
        <c:majorTickMark val="none"/>
        <c:minorTickMark val="none"/>
        <c:tickLblPos val="nextTo"/>
        <c:crossAx val="6067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8A5D6F2-AE0D-4C9E-86B3-7970EB883CFD}">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4DB4CF39-F8AE-4244-B73F-1A003BA71104}">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C8A5D6F2-AE0D-4C9E-86B3-7970EB883CFD}">
          <cx:dataPt idx="2">
            <cx:spPr>
              <a:solidFill>
                <a:srgbClr val="00B050"/>
              </a:solidFill>
            </cx:spPr>
          </cx:dataPt>
          <cx:dataLabels>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ysClr val="window" lastClr="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4DB4CF39-F8AE-4244-B73F-1A003BA71104}">
          <cx:tx>
            <cx:txData>
              <cx:f>_xlchart.v2.6</cx:f>
              <cx:v>Attrition</cx:v>
            </cx:txData>
          </cx:tx>
          <cx:spPr>
            <a:gradFill>
              <a:gsLst>
                <a:gs pos="0">
                  <a:schemeClr val="accent6">
                    <a:lumMod val="50000"/>
                  </a:schemeClr>
                </a:gs>
                <a:gs pos="100000">
                  <a:schemeClr val="accent1">
                    <a:lumMod val="50000"/>
                  </a:schemeClr>
                </a:gs>
              </a:gsLst>
              <a:lin ang="0" scaled="0"/>
            </a:gradFill>
          </cx:spPr>
          <cx:dataLabels>
            <cx:txPr>
              <a:bodyPr spcFirstLastPara="1" vertOverflow="ellipsis" horzOverflow="overflow" wrap="square" lIns="0" tIns="0" rIns="0" bIns="0" anchor="ctr" anchorCtr="1"/>
              <a:lstStyle/>
              <a:p>
                <a:pPr algn="ctr" rtl="0">
                  <a:defRPr sz="1400" b="1">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microsoft.com/office/2014/relationships/chartEx" Target="../charts/chartEx3.xml"/><Relationship Id="rId3" Type="http://schemas.openxmlformats.org/officeDocument/2006/relationships/image" Target="../media/image2.png"/><Relationship Id="rId21" Type="http://schemas.microsoft.com/office/2014/relationships/chartEx" Target="../charts/chartEx4.xml"/><Relationship Id="rId7" Type="http://schemas.openxmlformats.org/officeDocument/2006/relationships/image" Target="../media/image6.png"/><Relationship Id="rId12" Type="http://schemas.openxmlformats.org/officeDocument/2006/relationships/chart" Target="../charts/chart10.xml"/><Relationship Id="rId17" Type="http://schemas.openxmlformats.org/officeDocument/2006/relationships/chart" Target="../charts/chart11.xml"/><Relationship Id="rId2" Type="http://schemas.openxmlformats.org/officeDocument/2006/relationships/image" Target="../media/image5.png"/><Relationship Id="rId16" Type="http://schemas.openxmlformats.org/officeDocument/2006/relationships/image" Target="../media/image12.sv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9.xml"/><Relationship Id="rId5" Type="http://schemas.microsoft.com/office/2007/relationships/hdphoto" Target="../media/hdphoto1.wdp"/><Relationship Id="rId15" Type="http://schemas.openxmlformats.org/officeDocument/2006/relationships/image" Target="../media/image11.png"/><Relationship Id="rId10" Type="http://schemas.openxmlformats.org/officeDocument/2006/relationships/chart" Target="../charts/chart8.xml"/><Relationship Id="rId19" Type="http://schemas.openxmlformats.org/officeDocument/2006/relationships/chart" Target="../charts/chart12.xml"/><Relationship Id="rId4" Type="http://schemas.openxmlformats.org/officeDocument/2006/relationships/image" Target="../media/image8.png"/><Relationship Id="rId9" Type="http://schemas.openxmlformats.org/officeDocument/2006/relationships/chart" Target="../charts/chart7.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5</xdr:col>
      <xdr:colOff>501650</xdr:colOff>
      <xdr:row>1</xdr:row>
      <xdr:rowOff>120650</xdr:rowOff>
    </xdr:from>
    <xdr:to>
      <xdr:col>8</xdr:col>
      <xdr:colOff>349250</xdr:colOff>
      <xdr:row>15</xdr:row>
      <xdr:rowOff>79369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62800" y="317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501650</xdr:colOff>
      <xdr:row>11</xdr:row>
      <xdr:rowOff>139700</xdr:rowOff>
    </xdr:from>
    <xdr:to>
      <xdr:col>1</xdr:col>
      <xdr:colOff>95250</xdr:colOff>
      <xdr:row>17</xdr:row>
      <xdr:rowOff>101600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469900</xdr:colOff>
      <xdr:row>3</xdr:row>
      <xdr:rowOff>114300</xdr:rowOff>
    </xdr:from>
    <xdr:to>
      <xdr:col>5</xdr:col>
      <xdr:colOff>69850</xdr:colOff>
      <xdr:row>6</xdr:row>
      <xdr:rowOff>76200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196850</xdr:colOff>
      <xdr:row>1</xdr:row>
      <xdr:rowOff>50801</xdr:rowOff>
    </xdr:from>
    <xdr:to>
      <xdr:col>9</xdr:col>
      <xdr:colOff>247650</xdr:colOff>
      <xdr:row>9</xdr:row>
      <xdr:rowOff>184151</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943600" y="247651"/>
              <a:ext cx="137160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12</xdr:row>
      <xdr:rowOff>63501</xdr:rowOff>
    </xdr:from>
    <xdr:to>
      <xdr:col>9</xdr:col>
      <xdr:colOff>171450</xdr:colOff>
      <xdr:row>19</xdr:row>
      <xdr:rowOff>82551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88050" y="2425701"/>
              <a:ext cx="12509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520700</xdr:colOff>
      <xdr:row>6</xdr:row>
      <xdr:rowOff>120650</xdr:rowOff>
    </xdr:from>
    <xdr:to>
      <xdr:col>5</xdr:col>
      <xdr:colOff>6350</xdr:colOff>
      <xdr:row>8</xdr:row>
      <xdr:rowOff>82550</xdr:rowOff>
    </xdr:to>
    <xdr:sp macro="" textlink="">
      <xdr:nvSpPr>
        <xdr:cNvPr id="6" name="Freeform: Shape 5">
          <a:extLst>
            <a:ext uri="{FF2B5EF4-FFF2-40B4-BE49-F238E27FC236}">
              <a16:creationId xmlns:a16="http://schemas.microsoft.com/office/drawing/2014/main" id="{00000000-0008-0000-0100-000006000000}"/>
            </a:ext>
          </a:extLst>
        </xdr:cNvPr>
        <xdr:cNvSpPr/>
      </xdr:nvSpPr>
      <xdr:spPr>
        <a:xfrm>
          <a:off x="2965450" y="1301750"/>
          <a:ext cx="1466850" cy="355600"/>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539750</xdr:colOff>
      <xdr:row>0</xdr:row>
      <xdr:rowOff>127001</xdr:rowOff>
    </xdr:from>
    <xdr:to>
      <xdr:col>7</xdr:col>
      <xdr:colOff>203200</xdr:colOff>
      <xdr:row>8</xdr:row>
      <xdr:rowOff>25401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270500" y="127001"/>
              <a:ext cx="16446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1</xdr:row>
      <xdr:rowOff>31751</xdr:rowOff>
    </xdr:from>
    <xdr:to>
      <xdr:col>9</xdr:col>
      <xdr:colOff>361950</xdr:colOff>
      <xdr:row>7</xdr:row>
      <xdr:rowOff>82551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85000" y="228601"/>
              <a:ext cx="14097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xdr:colOff>
      <xdr:row>1</xdr:row>
      <xdr:rowOff>44450</xdr:rowOff>
    </xdr:from>
    <xdr:to>
      <xdr:col>4</xdr:col>
      <xdr:colOff>476250</xdr:colOff>
      <xdr:row>6</xdr:row>
      <xdr:rowOff>107950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13</xdr:row>
      <xdr:rowOff>177800</xdr:rowOff>
    </xdr:from>
    <xdr:to>
      <xdr:col>6</xdr:col>
      <xdr:colOff>374650</xdr:colOff>
      <xdr:row>24</xdr:row>
      <xdr:rowOff>127000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12</xdr:row>
      <xdr:rowOff>171450</xdr:rowOff>
    </xdr:from>
    <xdr:to>
      <xdr:col>7</xdr:col>
      <xdr:colOff>476250</xdr:colOff>
      <xdr:row>26</xdr:row>
      <xdr:rowOff>158750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22370" y="2548890"/>
              <a:ext cx="4610100" cy="2760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273050</xdr:colOff>
      <xdr:row>6</xdr:row>
      <xdr:rowOff>114300</xdr:rowOff>
    </xdr:from>
    <xdr:to>
      <xdr:col>8</xdr:col>
      <xdr:colOff>476250</xdr:colOff>
      <xdr:row>17</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44450</xdr:colOff>
      <xdr:row>5</xdr:row>
      <xdr:rowOff>57151</xdr:rowOff>
    </xdr:from>
    <xdr:to>
      <xdr:col>10</xdr:col>
      <xdr:colOff>590550</xdr:colOff>
      <xdr:row>13</xdr:row>
      <xdr:rowOff>114301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02500" y="1041401"/>
              <a:ext cx="1206500" cy="163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117475</xdr:colOff>
      <xdr:row>1</xdr:row>
      <xdr:rowOff>133350</xdr:rowOff>
    </xdr:from>
    <xdr:to>
      <xdr:col>7</xdr:col>
      <xdr:colOff>438150</xdr:colOff>
      <xdr:row>9</xdr:row>
      <xdr:rowOff>146050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12</xdr:row>
      <xdr:rowOff>12700</xdr:rowOff>
    </xdr:from>
    <xdr:to>
      <xdr:col>11</xdr:col>
      <xdr:colOff>69850</xdr:colOff>
      <xdr:row>23</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71390" y="2390140"/>
              <a:ext cx="3718560" cy="2223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250195</xdr:colOff>
      <xdr:row>1</xdr:row>
      <xdr:rowOff>43296</xdr:rowOff>
    </xdr:from>
    <xdr:to>
      <xdr:col>34</xdr:col>
      <xdr:colOff>404090</xdr:colOff>
      <xdr:row>59</xdr:row>
      <xdr:rowOff>0</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4302650" y="233796"/>
          <a:ext cx="19065349" cy="11005704"/>
          <a:chOff x="1752600" y="190500"/>
          <a:chExt cx="13468350" cy="7776000"/>
        </a:xfrm>
      </xdr:grpSpPr>
      <xdr:sp macro="" textlink="">
        <xdr:nvSpPr>
          <xdr:cNvPr id="3" name="Rectangle: Rounded Corners 2">
            <a:extLst>
              <a:ext uri="{FF2B5EF4-FFF2-40B4-BE49-F238E27FC236}">
                <a16:creationId xmlns:a16="http://schemas.microsoft.com/office/drawing/2014/main" id="{00000000-0008-0000-0800-00000300000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00000000-0008-0000-0800-000004000000}"/>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00000000-0008-0000-0800-00000500000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00000000-0008-0000-0800-000006000000}"/>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00000000-0008-0000-0800-00000700000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00000000-0008-0000-0800-000016000000}"/>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00000000-0008-0000-0800-000017000000}"/>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00000000-0008-0000-0800-000018000000}"/>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00000000-0008-0000-0800-000019000000}"/>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00000000-0008-0000-0800-00001A000000}"/>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00000000-0008-0000-0800-000008000000}"/>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0000000-0008-0000-0800-000014000000}"/>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00000000-0008-0000-0800-00001500000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00000000-0008-0000-0800-00000900000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00000000-0008-0000-0800-00000A000000}"/>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00000000-0008-0000-0800-00000B000000}"/>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00000000-0008-0000-0800-00000C000000}"/>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00000000-0008-0000-0800-00000D00000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00000000-0008-0000-0800-00000E000000}"/>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00000000-0008-0000-0800-00000F000000}"/>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00000000-0008-0000-0800-000010000000}"/>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00000000-0008-0000-0800-000011000000}"/>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00000000-0008-0000-0800-000012000000}"/>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0000000-0008-0000-0800-00001300000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418521</xdr:colOff>
      <xdr:row>8</xdr:row>
      <xdr:rowOff>187613</xdr:rowOff>
    </xdr:from>
    <xdr:to>
      <xdr:col>34</xdr:col>
      <xdr:colOff>62582</xdr:colOff>
      <xdr:row>16</xdr:row>
      <xdr:rowOff>14431</xdr:rowOff>
    </xdr:to>
    <xdr:grpSp>
      <xdr:nvGrpSpPr>
        <xdr:cNvPr id="50" name="Group 49">
          <a:extLst>
            <a:ext uri="{FF2B5EF4-FFF2-40B4-BE49-F238E27FC236}">
              <a16:creationId xmlns:a16="http://schemas.microsoft.com/office/drawing/2014/main" id="{00000000-0008-0000-0800-000032000000}"/>
            </a:ext>
          </a:extLst>
        </xdr:cNvPr>
        <xdr:cNvGrpSpPr/>
      </xdr:nvGrpSpPr>
      <xdr:grpSpPr>
        <a:xfrm>
          <a:off x="4470976" y="1711613"/>
          <a:ext cx="18555515" cy="1350818"/>
          <a:chOff x="4401703" y="1803977"/>
          <a:chExt cx="18232243" cy="1443181"/>
        </a:xfrm>
      </xdr:grpSpPr>
      <xdr:grpSp>
        <xdr:nvGrpSpPr>
          <xdr:cNvPr id="45" name="Group 44">
            <a:extLst>
              <a:ext uri="{FF2B5EF4-FFF2-40B4-BE49-F238E27FC236}">
                <a16:creationId xmlns:a16="http://schemas.microsoft.com/office/drawing/2014/main" id="{00000000-0008-0000-0800-00002D000000}"/>
              </a:ext>
            </a:extLst>
          </xdr:cNvPr>
          <xdr:cNvGrpSpPr/>
        </xdr:nvGrpSpPr>
        <xdr:grpSpPr>
          <a:xfrm>
            <a:off x="4401703" y="1876136"/>
            <a:ext cx="3391479" cy="1342160"/>
            <a:chOff x="4401703" y="1876136"/>
            <a:chExt cx="3391479" cy="1342160"/>
          </a:xfrm>
        </xdr:grpSpPr>
        <xdr:sp macro="" textlink="">
          <xdr:nvSpPr>
            <xdr:cNvPr id="27" name="TextBox 26">
              <a:extLst>
                <a:ext uri="{FF2B5EF4-FFF2-40B4-BE49-F238E27FC236}">
                  <a16:creationId xmlns:a16="http://schemas.microsoft.com/office/drawing/2014/main" id="{00000000-0008-0000-0800-00001B000000}"/>
                </a:ext>
              </a:extLst>
            </xdr:cNvPr>
            <xdr:cNvSpPr txBox="1"/>
          </xdr:nvSpPr>
          <xdr:spPr>
            <a:xfrm>
              <a:off x="4401703" y="1876136"/>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p>
          </xdr:txBody>
        </xdr:sp>
        <xdr:sp macro="" textlink="KPI!A7">
          <xdr:nvSpPr>
            <xdr:cNvPr id="29" name="TextBox 28">
              <a:extLst>
                <a:ext uri="{FF2B5EF4-FFF2-40B4-BE49-F238E27FC236}">
                  <a16:creationId xmlns:a16="http://schemas.microsoft.com/office/drawing/2014/main" id="{00000000-0008-0000-0800-00001D000000}"/>
                </a:ext>
              </a:extLst>
            </xdr:cNvPr>
            <xdr:cNvSpPr txBox="1"/>
          </xdr:nvSpPr>
          <xdr:spPr>
            <a:xfrm>
              <a:off x="4531591" y="241011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A44A3E-9AC0-45FD-A36C-257EB137D7B2}"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30" name="Picture 29">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1"/>
            <a:stretch>
              <a:fillRect/>
            </a:stretch>
          </xdr:blipFill>
          <xdr:spPr>
            <a:xfrm>
              <a:off x="7365082" y="1919431"/>
              <a:ext cx="428100" cy="411700"/>
            </a:xfrm>
            <a:prstGeom prst="rect">
              <a:avLst/>
            </a:prstGeom>
          </xdr:spPr>
        </xdr:pic>
      </xdr:grpSp>
      <xdr:grpSp>
        <xdr:nvGrpSpPr>
          <xdr:cNvPr id="46" name="Group 45">
            <a:extLst>
              <a:ext uri="{FF2B5EF4-FFF2-40B4-BE49-F238E27FC236}">
                <a16:creationId xmlns:a16="http://schemas.microsoft.com/office/drawing/2014/main" id="{00000000-0008-0000-0800-00002E000000}"/>
              </a:ext>
            </a:extLst>
          </xdr:cNvPr>
          <xdr:cNvGrpSpPr/>
        </xdr:nvGrpSpPr>
        <xdr:grpSpPr>
          <a:xfrm>
            <a:off x="8247154" y="1803977"/>
            <a:ext cx="3370459" cy="1401620"/>
            <a:chOff x="8247154" y="1803977"/>
            <a:chExt cx="3370459" cy="1401620"/>
          </a:xfrm>
        </xdr:grpSpPr>
        <xdr:sp macro="" textlink="">
          <xdr:nvSpPr>
            <xdr:cNvPr id="35" name="TextBox 34">
              <a:extLst>
                <a:ext uri="{FF2B5EF4-FFF2-40B4-BE49-F238E27FC236}">
                  <a16:creationId xmlns:a16="http://schemas.microsoft.com/office/drawing/2014/main" id="{00000000-0008-0000-0800-000023000000}"/>
                </a:ext>
              </a:extLst>
            </xdr:cNvPr>
            <xdr:cNvSpPr txBox="1"/>
          </xdr:nvSpPr>
          <xdr:spPr>
            <a:xfrm>
              <a:off x="8298530" y="1842654"/>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KPI!B7">
          <xdr:nvSpPr>
            <xdr:cNvPr id="38" name="TextBox 37">
              <a:extLst>
                <a:ext uri="{FF2B5EF4-FFF2-40B4-BE49-F238E27FC236}">
                  <a16:creationId xmlns:a16="http://schemas.microsoft.com/office/drawing/2014/main" id="{00000000-0008-0000-0800-000026000000}"/>
                </a:ext>
              </a:extLst>
            </xdr:cNvPr>
            <xdr:cNvSpPr txBox="1"/>
          </xdr:nvSpPr>
          <xdr:spPr>
            <a:xfrm>
              <a:off x="8247154" y="239741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8F30BB-0E4B-410D-A149-677F3A744A1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0" name="Picture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2"/>
            <a:stretch>
              <a:fillRect/>
            </a:stretch>
          </xdr:blipFill>
          <xdr:spPr>
            <a:xfrm>
              <a:off x="10896022" y="1803977"/>
              <a:ext cx="721591" cy="735068"/>
            </a:xfrm>
            <a:prstGeom prst="rect">
              <a:avLst/>
            </a:prstGeom>
            <a:ln>
              <a:noFill/>
            </a:ln>
          </xdr:spPr>
        </xdr:pic>
      </xdr:grpSp>
      <xdr:grpSp>
        <xdr:nvGrpSpPr>
          <xdr:cNvPr id="47" name="Group 46">
            <a:extLst>
              <a:ext uri="{FF2B5EF4-FFF2-40B4-BE49-F238E27FC236}">
                <a16:creationId xmlns:a16="http://schemas.microsoft.com/office/drawing/2014/main" id="{00000000-0008-0000-0800-00002F000000}"/>
              </a:ext>
            </a:extLst>
          </xdr:cNvPr>
          <xdr:cNvGrpSpPr/>
        </xdr:nvGrpSpPr>
        <xdr:grpSpPr>
          <a:xfrm>
            <a:off x="11811812" y="1820141"/>
            <a:ext cx="3529211" cy="1391805"/>
            <a:chOff x="11811812" y="1820141"/>
            <a:chExt cx="3529211" cy="1391805"/>
          </a:xfrm>
        </xdr:grpSpPr>
        <xdr:sp macro="" textlink="">
          <xdr:nvSpPr>
            <xdr:cNvPr id="34" name="TextBox 33">
              <a:extLst>
                <a:ext uri="{FF2B5EF4-FFF2-40B4-BE49-F238E27FC236}">
                  <a16:creationId xmlns:a16="http://schemas.microsoft.com/office/drawing/2014/main" id="{00000000-0008-0000-0800-000022000000}"/>
                </a:ext>
              </a:extLst>
            </xdr:cNvPr>
            <xdr:cNvSpPr txBox="1"/>
          </xdr:nvSpPr>
          <xdr:spPr>
            <a:xfrm>
              <a:off x="11811812" y="1820141"/>
              <a:ext cx="3226142" cy="4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ACTIVE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7">
          <xdr:nvSpPr>
            <xdr:cNvPr id="37" name="TextBox 36">
              <a:extLst>
                <a:ext uri="{FF2B5EF4-FFF2-40B4-BE49-F238E27FC236}">
                  <a16:creationId xmlns:a16="http://schemas.microsoft.com/office/drawing/2014/main" id="{00000000-0008-0000-0800-000025000000}"/>
                </a:ext>
              </a:extLst>
            </xdr:cNvPr>
            <xdr:cNvSpPr txBox="1"/>
          </xdr:nvSpPr>
          <xdr:spPr>
            <a:xfrm>
              <a:off x="12005777" y="240376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2EA9EC-7338-461F-9BFF-FA9CFF81A320}"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1" name="Picture 40">
              <a:extLst>
                <a:ext uri="{FF2B5EF4-FFF2-40B4-BE49-F238E27FC236}">
                  <a16:creationId xmlns:a16="http://schemas.microsoft.com/office/drawing/2014/main" id="{00000000-0008-0000-0800-000029000000}"/>
                </a:ext>
              </a:extLst>
            </xdr:cNvPr>
            <xdr:cNvPicPr>
              <a:picLocks noChangeAspect="1"/>
            </xdr:cNvPicPr>
          </xdr:nvPicPr>
          <xdr:blipFill>
            <a:blip xmlns:r="http://schemas.openxmlformats.org/officeDocument/2006/relationships" r:embed="rId3"/>
            <a:stretch>
              <a:fillRect/>
            </a:stretch>
          </xdr:blipFill>
          <xdr:spPr>
            <a:xfrm>
              <a:off x="14872096" y="1904999"/>
              <a:ext cx="468927" cy="432956"/>
            </a:xfrm>
            <a:prstGeom prst="rect">
              <a:avLst/>
            </a:prstGeom>
          </xdr:spPr>
        </xdr:pic>
      </xdr:grpSp>
      <xdr:grpSp>
        <xdr:nvGrpSpPr>
          <xdr:cNvPr id="48" name="Group 47">
            <a:extLst>
              <a:ext uri="{FF2B5EF4-FFF2-40B4-BE49-F238E27FC236}">
                <a16:creationId xmlns:a16="http://schemas.microsoft.com/office/drawing/2014/main" id="{00000000-0008-0000-0800-000030000000}"/>
              </a:ext>
            </a:extLst>
          </xdr:cNvPr>
          <xdr:cNvGrpSpPr/>
        </xdr:nvGrpSpPr>
        <xdr:grpSpPr>
          <a:xfrm>
            <a:off x="15584868" y="1826491"/>
            <a:ext cx="3378541" cy="1420667"/>
            <a:chOff x="15584868" y="1826491"/>
            <a:chExt cx="3378541" cy="1420667"/>
          </a:xfrm>
        </xdr:grpSpPr>
        <xdr:sp macro="" textlink="">
          <xdr:nvSpPr>
            <xdr:cNvPr id="33" name="TextBox 32">
              <a:extLst>
                <a:ext uri="{FF2B5EF4-FFF2-40B4-BE49-F238E27FC236}">
                  <a16:creationId xmlns:a16="http://schemas.microsoft.com/office/drawing/2014/main" id="{00000000-0008-0000-0800-000021000000}"/>
                </a:ext>
              </a:extLst>
            </xdr:cNvPr>
            <xdr:cNvSpPr txBox="1"/>
          </xdr:nvSpPr>
          <xdr:spPr>
            <a:xfrm>
              <a:off x="15584868" y="182649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RATE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7">
          <xdr:nvSpPr>
            <xdr:cNvPr id="36" name="TextBox 35">
              <a:extLst>
                <a:ext uri="{FF2B5EF4-FFF2-40B4-BE49-F238E27FC236}">
                  <a16:creationId xmlns:a16="http://schemas.microsoft.com/office/drawing/2014/main" id="{00000000-0008-0000-0800-000024000000}"/>
                </a:ext>
              </a:extLst>
            </xdr:cNvPr>
            <xdr:cNvSpPr txBox="1"/>
          </xdr:nvSpPr>
          <xdr:spPr>
            <a:xfrm>
              <a:off x="15749967" y="2438976"/>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6C7782-32F9-4296-A13C-44332C73BAB1}"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2" name="Picture 41">
              <a:extLst>
                <a:ext uri="{FF2B5EF4-FFF2-40B4-BE49-F238E27FC236}">
                  <a16:creationId xmlns:a16="http://schemas.microsoft.com/office/drawing/2014/main" id="{00000000-0008-0000-0800-00002A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0"/>
                      </a14:imgEffect>
                    </a14:imgLayer>
                  </a14:imgProps>
                </a:ext>
              </a:extLst>
            </a:blip>
            <a:stretch>
              <a:fillRect/>
            </a:stretch>
          </xdr:blipFill>
          <xdr:spPr>
            <a:xfrm>
              <a:off x="18559318" y="1890569"/>
              <a:ext cx="404091" cy="413926"/>
            </a:xfrm>
            <a:prstGeom prst="rect">
              <a:avLst/>
            </a:prstGeom>
            <a:ln>
              <a:noFill/>
            </a:ln>
          </xdr:spPr>
        </xdr:pic>
      </xdr:grpSp>
      <xdr:grpSp>
        <xdr:nvGrpSpPr>
          <xdr:cNvPr id="49" name="Group 48">
            <a:extLst>
              <a:ext uri="{FF2B5EF4-FFF2-40B4-BE49-F238E27FC236}">
                <a16:creationId xmlns:a16="http://schemas.microsoft.com/office/drawing/2014/main" id="{00000000-0008-0000-0800-000031000000}"/>
              </a:ext>
            </a:extLst>
          </xdr:cNvPr>
          <xdr:cNvGrpSpPr/>
        </xdr:nvGrpSpPr>
        <xdr:grpSpPr>
          <a:xfrm>
            <a:off x="19285763" y="1832841"/>
            <a:ext cx="3348183" cy="1399886"/>
            <a:chOff x="19285763" y="1832841"/>
            <a:chExt cx="3348183" cy="1399886"/>
          </a:xfrm>
        </xdr:grpSpPr>
        <xdr:sp macro="" textlink="">
          <xdr:nvSpPr>
            <xdr:cNvPr id="32" name="TextBox 31">
              <a:extLst>
                <a:ext uri="{FF2B5EF4-FFF2-40B4-BE49-F238E27FC236}">
                  <a16:creationId xmlns:a16="http://schemas.microsoft.com/office/drawing/2014/main" id="{00000000-0008-0000-0800-000020000000}"/>
                </a:ext>
              </a:extLst>
            </xdr:cNvPr>
            <xdr:cNvSpPr txBox="1"/>
          </xdr:nvSpPr>
          <xdr:spPr>
            <a:xfrm>
              <a:off x="19285763" y="183284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AVERAGE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AGE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7">
          <xdr:nvSpPr>
            <xdr:cNvPr id="39" name="TextBox 38">
              <a:extLst>
                <a:ext uri="{FF2B5EF4-FFF2-40B4-BE49-F238E27FC236}">
                  <a16:creationId xmlns:a16="http://schemas.microsoft.com/office/drawing/2014/main" id="{00000000-0008-0000-0800-000027000000}"/>
                </a:ext>
              </a:extLst>
            </xdr:cNvPr>
            <xdr:cNvSpPr txBox="1"/>
          </xdr:nvSpPr>
          <xdr:spPr>
            <a:xfrm>
              <a:off x="19444514" y="242454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4EF417-99B2-4DCF-9743-7623834D18F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3" name="Picture 42">
              <a:extLst>
                <a:ext uri="{FF2B5EF4-FFF2-40B4-BE49-F238E27FC236}">
                  <a16:creationId xmlns:a16="http://schemas.microsoft.com/office/drawing/2014/main" id="{00000000-0008-0000-0800-00002B000000}"/>
                </a:ext>
              </a:extLst>
            </xdr:cNvPr>
            <xdr:cNvPicPr>
              <a:picLocks noChangeAspect="1"/>
            </xdr:cNvPicPr>
          </xdr:nvPicPr>
          <xdr:blipFill>
            <a:blip xmlns:r="http://schemas.openxmlformats.org/officeDocument/2006/relationships" r:embed="rId6"/>
            <a:stretch>
              <a:fillRect/>
            </a:stretch>
          </xdr:blipFill>
          <xdr:spPr>
            <a:xfrm>
              <a:off x="22123977" y="1890567"/>
              <a:ext cx="476249" cy="438148"/>
            </a:xfrm>
            <a:prstGeom prst="rect">
              <a:avLst/>
            </a:prstGeom>
          </xdr:spPr>
        </xdr:pic>
      </xdr:grpSp>
    </xdr:grpSp>
    <xdr:clientData/>
  </xdr:twoCellAnchor>
  <xdr:twoCellAnchor>
    <xdr:from>
      <xdr:col>9</xdr:col>
      <xdr:colOff>28863</xdr:colOff>
      <xdr:row>2</xdr:row>
      <xdr:rowOff>173181</xdr:rowOff>
    </xdr:from>
    <xdr:to>
      <xdr:col>22</xdr:col>
      <xdr:colOff>360795</xdr:colOff>
      <xdr:row>7</xdr:row>
      <xdr:rowOff>115454</xdr:rowOff>
    </xdr:to>
    <xdr:sp macro="" textlink="">
      <xdr:nvSpPr>
        <xdr:cNvPr id="51" name="TextBox 50">
          <a:extLst>
            <a:ext uri="{FF2B5EF4-FFF2-40B4-BE49-F238E27FC236}">
              <a16:creationId xmlns:a16="http://schemas.microsoft.com/office/drawing/2014/main" id="{00000000-0008-0000-0800-000033000000}"/>
            </a:ext>
          </a:extLst>
        </xdr:cNvPr>
        <xdr:cNvSpPr txBox="1"/>
      </xdr:nvSpPr>
      <xdr:spPr>
        <a:xfrm>
          <a:off x="6003636" y="577272"/>
          <a:ext cx="8962159"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editAs="oneCell">
    <xdr:from>
      <xdr:col>7</xdr:col>
      <xdr:colOff>134741</xdr:colOff>
      <xdr:row>2</xdr:row>
      <xdr:rowOff>101022</xdr:rowOff>
    </xdr:from>
    <xdr:to>
      <xdr:col>8</xdr:col>
      <xdr:colOff>519545</xdr:colOff>
      <xdr:row>7</xdr:row>
      <xdr:rowOff>132104</xdr:rowOff>
    </xdr:to>
    <xdr:pic>
      <xdr:nvPicPr>
        <xdr:cNvPr id="52" name="Picture 51">
          <a:extLst>
            <a:ext uri="{FF2B5EF4-FFF2-40B4-BE49-F238E27FC236}">
              <a16:creationId xmlns:a16="http://schemas.microsoft.com/office/drawing/2014/main" id="{00000000-0008-0000-0800-000034000000}"/>
            </a:ext>
          </a:extLst>
        </xdr:cNvPr>
        <xdr:cNvPicPr>
          <a:picLocks noChangeAspect="1"/>
        </xdr:cNvPicPr>
      </xdr:nvPicPr>
      <xdr:blipFill>
        <a:blip xmlns:r="http://schemas.openxmlformats.org/officeDocument/2006/relationships" r:embed="rId7"/>
        <a:stretch>
          <a:fillRect/>
        </a:stretch>
      </xdr:blipFill>
      <xdr:spPr>
        <a:xfrm>
          <a:off x="4781786" y="505113"/>
          <a:ext cx="1048668" cy="1041309"/>
        </a:xfrm>
        <a:prstGeom prst="rect">
          <a:avLst/>
        </a:prstGeom>
      </xdr:spPr>
    </xdr:pic>
    <xdr:clientData/>
  </xdr:twoCellAnchor>
  <xdr:twoCellAnchor>
    <xdr:from>
      <xdr:col>24</xdr:col>
      <xdr:colOff>317501</xdr:colOff>
      <xdr:row>2</xdr:row>
      <xdr:rowOff>86591</xdr:rowOff>
    </xdr:from>
    <xdr:to>
      <xdr:col>28</xdr:col>
      <xdr:colOff>533977</xdr:colOff>
      <xdr:row>7</xdr:row>
      <xdr:rowOff>101023</xdr:rowOff>
    </xdr:to>
    <xdr:sp macro="" textlink="">
      <xdr:nvSpPr>
        <xdr:cNvPr id="53" name="TextBox 52">
          <a:extLst>
            <a:ext uri="{FF2B5EF4-FFF2-40B4-BE49-F238E27FC236}">
              <a16:creationId xmlns:a16="http://schemas.microsoft.com/office/drawing/2014/main" id="{00000000-0008-0000-0800-000035000000}"/>
            </a:ext>
          </a:extLst>
        </xdr:cNvPr>
        <xdr:cNvSpPr txBox="1"/>
      </xdr:nvSpPr>
      <xdr:spPr>
        <a:xfrm>
          <a:off x="16250228" y="490682"/>
          <a:ext cx="2871931" cy="102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editAs="oneCell">
    <xdr:from>
      <xdr:col>23</xdr:col>
      <xdr:colOff>250195</xdr:colOff>
      <xdr:row>2</xdr:row>
      <xdr:rowOff>129887</xdr:rowOff>
    </xdr:from>
    <xdr:to>
      <xdr:col>24</xdr:col>
      <xdr:colOff>548409</xdr:colOff>
      <xdr:row>7</xdr:row>
      <xdr:rowOff>91187</xdr:rowOff>
    </xdr:to>
    <xdr:pic>
      <xdr:nvPicPr>
        <xdr:cNvPr id="54" name="Picture 53">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8"/>
        <a:stretch>
          <a:fillRect/>
        </a:stretch>
      </xdr:blipFill>
      <xdr:spPr>
        <a:xfrm>
          <a:off x="15519059" y="533978"/>
          <a:ext cx="962077" cy="971527"/>
        </a:xfrm>
        <a:prstGeom prst="rect">
          <a:avLst/>
        </a:prstGeom>
      </xdr:spPr>
    </xdr:pic>
    <xdr:clientData/>
  </xdr:twoCellAnchor>
  <xdr:twoCellAnchor>
    <xdr:from>
      <xdr:col>27</xdr:col>
      <xdr:colOff>649433</xdr:colOff>
      <xdr:row>2</xdr:row>
      <xdr:rowOff>28864</xdr:rowOff>
    </xdr:from>
    <xdr:to>
      <xdr:col>30</xdr:col>
      <xdr:colOff>115456</xdr:colOff>
      <xdr:row>7</xdr:row>
      <xdr:rowOff>144319</xdr:rowOff>
    </xdr:to>
    <xdr:graphicFrame macro="">
      <xdr:nvGraphicFramePr>
        <xdr:cNvPr id="56" name="Chart 55">
          <a:extLst>
            <a:ext uri="{FF2B5EF4-FFF2-40B4-BE49-F238E27FC236}">
              <a16:creationId xmlns:a16="http://schemas.microsoft.com/office/drawing/2014/main" id="{00000000-0008-0000-08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476250</xdr:colOff>
      <xdr:row>4</xdr:row>
      <xdr:rowOff>28862</xdr:rowOff>
    </xdr:from>
    <xdr:to>
      <xdr:col>29</xdr:col>
      <xdr:colOff>303069</xdr:colOff>
      <xdr:row>6</xdr:row>
      <xdr:rowOff>57726</xdr:rowOff>
    </xdr:to>
    <xdr:sp macro="" textlink="Rating!$B$6">
      <xdr:nvSpPr>
        <xdr:cNvPr id="57" name="TextBox 56">
          <a:extLst>
            <a:ext uri="{FF2B5EF4-FFF2-40B4-BE49-F238E27FC236}">
              <a16:creationId xmlns:a16="http://schemas.microsoft.com/office/drawing/2014/main" id="{00000000-0008-0000-0800-000039000000}"/>
            </a:ext>
          </a:extLst>
        </xdr:cNvPr>
        <xdr:cNvSpPr txBox="1"/>
      </xdr:nvSpPr>
      <xdr:spPr>
        <a:xfrm>
          <a:off x="19064432" y="837044"/>
          <a:ext cx="490682"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F086F7-41B4-40A7-9BB6-55D11AA380CB}" type="TxLink">
            <a:rPr lang="en-US" sz="16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6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30</xdr:col>
      <xdr:colOff>72160</xdr:colOff>
      <xdr:row>2</xdr:row>
      <xdr:rowOff>187614</xdr:rowOff>
    </xdr:from>
    <xdr:to>
      <xdr:col>34</xdr:col>
      <xdr:colOff>86590</xdr:colOff>
      <xdr:row>7</xdr:row>
      <xdr:rowOff>57726</xdr:rowOff>
    </xdr:to>
    <xdr:graphicFrame macro="">
      <xdr:nvGraphicFramePr>
        <xdr:cNvPr id="59" name="Chart 58">
          <a:extLst>
            <a:ext uri="{FF2B5EF4-FFF2-40B4-BE49-F238E27FC236}">
              <a16:creationId xmlns:a16="http://schemas.microsoft.com/office/drawing/2014/main" id="{00000000-0008-0000-08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202045</xdr:colOff>
      <xdr:row>3</xdr:row>
      <xdr:rowOff>101023</xdr:rowOff>
    </xdr:from>
    <xdr:to>
      <xdr:col>34</xdr:col>
      <xdr:colOff>28863</xdr:colOff>
      <xdr:row>6</xdr:row>
      <xdr:rowOff>115453</xdr:rowOff>
    </xdr:to>
    <xdr:sp macro="" textlink="">
      <xdr:nvSpPr>
        <xdr:cNvPr id="60" name="Freeform: Shape 59">
          <a:extLst>
            <a:ext uri="{FF2B5EF4-FFF2-40B4-BE49-F238E27FC236}">
              <a16:creationId xmlns:a16="http://schemas.microsoft.com/office/drawing/2014/main" id="{00000000-0008-0000-0800-00003C000000}"/>
            </a:ext>
          </a:extLst>
        </xdr:cNvPr>
        <xdr:cNvSpPr/>
      </xdr:nvSpPr>
      <xdr:spPr>
        <a:xfrm>
          <a:off x="20117954" y="707159"/>
          <a:ext cx="2482273" cy="620567"/>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274205</xdr:colOff>
      <xdr:row>31</xdr:row>
      <xdr:rowOff>115454</xdr:rowOff>
    </xdr:from>
    <xdr:to>
      <xdr:col>8</xdr:col>
      <xdr:colOff>346364</xdr:colOff>
      <xdr:row>34</xdr:row>
      <xdr:rowOff>129886</xdr:rowOff>
    </xdr:to>
    <xdr:sp macro="" textlink="'Gender and education'!$C$8">
      <xdr:nvSpPr>
        <xdr:cNvPr id="71" name="TextBox 70">
          <a:extLst>
            <a:ext uri="{FF2B5EF4-FFF2-40B4-BE49-F238E27FC236}">
              <a16:creationId xmlns:a16="http://schemas.microsoft.com/office/drawing/2014/main" id="{00000000-0008-0000-0800-000047000000}"/>
            </a:ext>
          </a:extLst>
        </xdr:cNvPr>
        <xdr:cNvSpPr txBox="1"/>
      </xdr:nvSpPr>
      <xdr:spPr>
        <a:xfrm>
          <a:off x="4921250" y="6378863"/>
          <a:ext cx="736023"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20273-D5A8-40BE-8309-CCDED1F2B9EB}" type="TxLink">
            <a:rPr lang="en-US" sz="2000" b="1" i="0" u="none" strike="noStrike">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404091</xdr:colOff>
      <xdr:row>17</xdr:row>
      <xdr:rowOff>57727</xdr:rowOff>
    </xdr:from>
    <xdr:to>
      <xdr:col>14</xdr:col>
      <xdr:colOff>420194</xdr:colOff>
      <xdr:row>36</xdr:row>
      <xdr:rowOff>86590</xdr:rowOff>
    </xdr:to>
    <xdr:grpSp>
      <xdr:nvGrpSpPr>
        <xdr:cNvPr id="96" name="Group 95">
          <a:extLst>
            <a:ext uri="{FF2B5EF4-FFF2-40B4-BE49-F238E27FC236}">
              <a16:creationId xmlns:a16="http://schemas.microsoft.com/office/drawing/2014/main" id="{00000000-0008-0000-0800-000060000000}"/>
            </a:ext>
          </a:extLst>
        </xdr:cNvPr>
        <xdr:cNvGrpSpPr/>
      </xdr:nvGrpSpPr>
      <xdr:grpSpPr>
        <a:xfrm>
          <a:off x="4456546" y="3296227"/>
          <a:ext cx="5419375" cy="3648363"/>
          <a:chOff x="4387273" y="3492500"/>
          <a:chExt cx="5327012" cy="3867726"/>
        </a:xfrm>
      </xdr:grpSpPr>
      <xdr:sp macro="" textlink="">
        <xdr:nvSpPr>
          <xdr:cNvPr id="72" name="TextBox 71">
            <a:extLst>
              <a:ext uri="{FF2B5EF4-FFF2-40B4-BE49-F238E27FC236}">
                <a16:creationId xmlns:a16="http://schemas.microsoft.com/office/drawing/2014/main" id="{00000000-0008-0000-0800-000048000000}"/>
              </a:ext>
            </a:extLst>
          </xdr:cNvPr>
          <xdr:cNvSpPr txBox="1"/>
        </xdr:nvSpPr>
        <xdr:spPr>
          <a:xfrm>
            <a:off x="4647045" y="3492500"/>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95" name="Group 94">
            <a:extLst>
              <a:ext uri="{FF2B5EF4-FFF2-40B4-BE49-F238E27FC236}">
                <a16:creationId xmlns:a16="http://schemas.microsoft.com/office/drawing/2014/main" id="{00000000-0008-0000-0800-00005F000000}"/>
              </a:ext>
            </a:extLst>
          </xdr:cNvPr>
          <xdr:cNvGrpSpPr/>
        </xdr:nvGrpSpPr>
        <xdr:grpSpPr>
          <a:xfrm>
            <a:off x="4387273" y="4546023"/>
            <a:ext cx="5327012" cy="2814203"/>
            <a:chOff x="4387273" y="4546023"/>
            <a:chExt cx="5327012" cy="2814203"/>
          </a:xfrm>
        </xdr:grpSpPr>
        <xdr:grpSp>
          <xdr:nvGrpSpPr>
            <xdr:cNvPr id="76" name="Group 75">
              <a:extLst>
                <a:ext uri="{FF2B5EF4-FFF2-40B4-BE49-F238E27FC236}">
                  <a16:creationId xmlns:a16="http://schemas.microsoft.com/office/drawing/2014/main" id="{00000000-0008-0000-0800-00004C000000}"/>
                </a:ext>
              </a:extLst>
            </xdr:cNvPr>
            <xdr:cNvGrpSpPr/>
          </xdr:nvGrpSpPr>
          <xdr:grpSpPr>
            <a:xfrm>
              <a:off x="4387273" y="5801589"/>
              <a:ext cx="5327012" cy="1558637"/>
              <a:chOff x="4387273" y="5801589"/>
              <a:chExt cx="5327012" cy="1558637"/>
            </a:xfrm>
          </xdr:grpSpPr>
          <xdr:graphicFrame macro="">
            <xdr:nvGraphicFramePr>
              <xdr:cNvPr id="61" name="Chart 60">
                <a:extLst>
                  <a:ext uri="{FF2B5EF4-FFF2-40B4-BE49-F238E27FC236}">
                    <a16:creationId xmlns:a16="http://schemas.microsoft.com/office/drawing/2014/main" id="{00000000-0008-0000-0800-00003D000000}"/>
                  </a:ext>
                </a:extLst>
              </xdr:cNvPr>
              <xdr:cNvGraphicFramePr>
                <a:graphicFrameLocks/>
              </xdr:cNvGraphicFramePr>
            </xdr:nvGraphicFramePr>
            <xdr:xfrm>
              <a:off x="4387273" y="5801589"/>
              <a:ext cx="1717386" cy="155863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2" name="Chart 61">
                <a:extLst>
                  <a:ext uri="{FF2B5EF4-FFF2-40B4-BE49-F238E27FC236}">
                    <a16:creationId xmlns:a16="http://schemas.microsoft.com/office/drawing/2014/main" id="{00000000-0008-0000-0800-00003E000000}"/>
                  </a:ext>
                </a:extLst>
              </xdr:cNvPr>
              <xdr:cNvGraphicFramePr>
                <a:graphicFrameLocks/>
              </xdr:cNvGraphicFramePr>
            </xdr:nvGraphicFramePr>
            <xdr:xfrm>
              <a:off x="8081818" y="5816021"/>
              <a:ext cx="1632467" cy="1529773"/>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68" name="Graphic 67" descr="Female Profile with solid fill">
                <a:extLst>
                  <a:ext uri="{FF2B5EF4-FFF2-40B4-BE49-F238E27FC236}">
                    <a16:creationId xmlns:a16="http://schemas.microsoft.com/office/drawing/2014/main" id="{00000000-0008-0000-0800-000044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018068" y="6083011"/>
                <a:ext cx="914400" cy="914400"/>
              </a:xfrm>
              <a:prstGeom prst="rect">
                <a:avLst/>
              </a:prstGeom>
            </xdr:spPr>
          </xdr:pic>
          <xdr:pic>
            <xdr:nvPicPr>
              <xdr:cNvPr id="70" name="Graphic 69" descr="Male profile with solid fill">
                <a:extLst>
                  <a:ext uri="{FF2B5EF4-FFF2-40B4-BE49-F238E27FC236}">
                    <a16:creationId xmlns:a16="http://schemas.microsoft.com/office/drawing/2014/main" id="{00000000-0008-0000-0800-00004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302501" y="6083011"/>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75" name="Gender 3">
                  <a:extLst>
                    <a:ext uri="{FF2B5EF4-FFF2-40B4-BE49-F238E27FC236}">
                      <a16:creationId xmlns:a16="http://schemas.microsoft.com/office/drawing/2014/main" id="{00000000-0008-0000-0800-00004B000000}"/>
                    </a:ext>
                  </a:extLst>
                </xdr:cNvPr>
                <xdr:cNvGraphicFramePr/>
              </xdr:nvGraphicFramePr>
              <xdr:xfrm>
                <a:off x="5296477" y="4546023"/>
                <a:ext cx="3338262" cy="86384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296477" y="4546023"/>
                  <a:ext cx="3338262" cy="86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15</xdr:col>
      <xdr:colOff>43295</xdr:colOff>
      <xdr:row>17</xdr:row>
      <xdr:rowOff>43295</xdr:rowOff>
    </xdr:from>
    <xdr:to>
      <xdr:col>24</xdr:col>
      <xdr:colOff>591705</xdr:colOff>
      <xdr:row>36</xdr:row>
      <xdr:rowOff>115455</xdr:rowOff>
    </xdr:to>
    <xdr:grpSp>
      <xdr:nvGrpSpPr>
        <xdr:cNvPr id="94" name="Group 93">
          <a:extLst>
            <a:ext uri="{FF2B5EF4-FFF2-40B4-BE49-F238E27FC236}">
              <a16:creationId xmlns:a16="http://schemas.microsoft.com/office/drawing/2014/main" id="{00000000-0008-0000-0800-00005E000000}"/>
            </a:ext>
          </a:extLst>
        </xdr:cNvPr>
        <xdr:cNvGrpSpPr/>
      </xdr:nvGrpSpPr>
      <xdr:grpSpPr>
        <a:xfrm>
          <a:off x="10174431" y="3281795"/>
          <a:ext cx="6627092" cy="3691660"/>
          <a:chOff x="10001250" y="3478068"/>
          <a:chExt cx="6523182" cy="3911023"/>
        </a:xfrm>
      </xdr:grpSpPr>
      <xdr:sp macro="" textlink="">
        <xdr:nvSpPr>
          <xdr:cNvPr id="73" name="TextBox 72">
            <a:extLst>
              <a:ext uri="{FF2B5EF4-FFF2-40B4-BE49-F238E27FC236}">
                <a16:creationId xmlns:a16="http://schemas.microsoft.com/office/drawing/2014/main" id="{00000000-0008-0000-0800-000049000000}"/>
              </a:ext>
            </a:extLst>
          </xdr:cNvPr>
          <xdr:cNvSpPr txBox="1"/>
        </xdr:nvSpPr>
        <xdr:spPr>
          <a:xfrm>
            <a:off x="10078264" y="347806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7" name="Chart 76">
            <a:extLst>
              <a:ext uri="{FF2B5EF4-FFF2-40B4-BE49-F238E27FC236}">
                <a16:creationId xmlns:a16="http://schemas.microsoft.com/office/drawing/2014/main" id="{00000000-0008-0000-0800-00004D000000}"/>
              </a:ext>
            </a:extLst>
          </xdr:cNvPr>
          <xdr:cNvGraphicFramePr>
            <a:graphicFrameLocks/>
          </xdr:cNvGraphicFramePr>
        </xdr:nvGraphicFramePr>
        <xdr:xfrm>
          <a:off x="10001250" y="4156362"/>
          <a:ext cx="6523182" cy="32327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25</xdr:col>
      <xdr:colOff>101023</xdr:colOff>
      <xdr:row>17</xdr:row>
      <xdr:rowOff>72159</xdr:rowOff>
    </xdr:from>
    <xdr:to>
      <xdr:col>34</xdr:col>
      <xdr:colOff>317500</xdr:colOff>
      <xdr:row>37</xdr:row>
      <xdr:rowOff>129886</xdr:rowOff>
    </xdr:to>
    <xdr:grpSp>
      <xdr:nvGrpSpPr>
        <xdr:cNvPr id="93" name="Group 92">
          <a:extLst>
            <a:ext uri="{FF2B5EF4-FFF2-40B4-BE49-F238E27FC236}">
              <a16:creationId xmlns:a16="http://schemas.microsoft.com/office/drawing/2014/main" id="{00000000-0008-0000-0800-00005D000000}"/>
            </a:ext>
          </a:extLst>
        </xdr:cNvPr>
        <xdr:cNvGrpSpPr/>
      </xdr:nvGrpSpPr>
      <xdr:grpSpPr>
        <a:xfrm>
          <a:off x="16986250" y="3310659"/>
          <a:ext cx="6295159" cy="3867727"/>
          <a:chOff x="16697614" y="3506932"/>
          <a:chExt cx="6191250" cy="4098636"/>
        </a:xfrm>
      </xdr:grpSpPr>
      <xdr:sp macro="" textlink="">
        <xdr:nvSpPr>
          <xdr:cNvPr id="74" name="TextBox 73">
            <a:extLst>
              <a:ext uri="{FF2B5EF4-FFF2-40B4-BE49-F238E27FC236}">
                <a16:creationId xmlns:a16="http://schemas.microsoft.com/office/drawing/2014/main" id="{00000000-0008-0000-0800-00004A000000}"/>
              </a:ext>
            </a:extLst>
          </xdr:cNvPr>
          <xdr:cNvSpPr txBox="1"/>
        </xdr:nvSpPr>
        <xdr:spPr>
          <a:xfrm>
            <a:off x="16962241" y="3506932"/>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00000000-0008-0000-0800-00004E000000}"/>
                  </a:ext>
                </a:extLst>
              </xdr:cNvPr>
              <xdr:cNvGraphicFramePr/>
            </xdr:nvGraphicFramePr>
            <xdr:xfrm>
              <a:off x="16697614" y="4084205"/>
              <a:ext cx="6191250" cy="3521363"/>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6697614" y="4084205"/>
                <a:ext cx="6191250" cy="35213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6</xdr:col>
      <xdr:colOff>582127</xdr:colOff>
      <xdr:row>38</xdr:row>
      <xdr:rowOff>158751</xdr:rowOff>
    </xdr:from>
    <xdr:to>
      <xdr:col>13</xdr:col>
      <xdr:colOff>279060</xdr:colOff>
      <xdr:row>41</xdr:row>
      <xdr:rowOff>0</xdr:rowOff>
    </xdr:to>
    <xdr:sp macro="" textlink="">
      <xdr:nvSpPr>
        <xdr:cNvPr id="79" name="TextBox 78">
          <a:extLst>
            <a:ext uri="{FF2B5EF4-FFF2-40B4-BE49-F238E27FC236}">
              <a16:creationId xmlns:a16="http://schemas.microsoft.com/office/drawing/2014/main" id="{00000000-0008-0000-0800-00004F000000}"/>
            </a:ext>
          </a:extLst>
        </xdr:cNvPr>
        <xdr:cNvSpPr txBox="1"/>
      </xdr:nvSpPr>
      <xdr:spPr>
        <a:xfrm>
          <a:off x="4565309" y="783647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48149</xdr:colOff>
      <xdr:row>38</xdr:row>
      <xdr:rowOff>144319</xdr:rowOff>
    </xdr:from>
    <xdr:to>
      <xdr:col>21</xdr:col>
      <xdr:colOff>408946</xdr:colOff>
      <xdr:row>40</xdr:row>
      <xdr:rowOff>187614</xdr:rowOff>
    </xdr:to>
    <xdr:sp macro="" textlink="">
      <xdr:nvSpPr>
        <xdr:cNvPr id="80" name="TextBox 79">
          <a:extLst>
            <a:ext uri="{FF2B5EF4-FFF2-40B4-BE49-F238E27FC236}">
              <a16:creationId xmlns:a16="http://schemas.microsoft.com/office/drawing/2014/main" id="{00000000-0008-0000-0800-000050000000}"/>
            </a:ext>
          </a:extLst>
        </xdr:cNvPr>
        <xdr:cNvSpPr txBox="1"/>
      </xdr:nvSpPr>
      <xdr:spPr>
        <a:xfrm>
          <a:off x="10006104" y="7822046"/>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460322</xdr:colOff>
      <xdr:row>38</xdr:row>
      <xdr:rowOff>152400</xdr:rowOff>
    </xdr:from>
    <xdr:to>
      <xdr:col>29</xdr:col>
      <xdr:colOff>157255</xdr:colOff>
      <xdr:row>40</xdr:row>
      <xdr:rowOff>195695</xdr:rowOff>
    </xdr:to>
    <xdr:sp macro="" textlink="">
      <xdr:nvSpPr>
        <xdr:cNvPr id="81" name="TextBox 80">
          <a:extLst>
            <a:ext uri="{FF2B5EF4-FFF2-40B4-BE49-F238E27FC236}">
              <a16:creationId xmlns:a16="http://schemas.microsoft.com/office/drawing/2014/main" id="{00000000-0008-0000-0800-000051000000}"/>
            </a:ext>
          </a:extLst>
        </xdr:cNvPr>
        <xdr:cNvSpPr txBox="1"/>
      </xdr:nvSpPr>
      <xdr:spPr>
        <a:xfrm>
          <a:off x="15065322" y="7830127"/>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8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596558</xdr:colOff>
      <xdr:row>38</xdr:row>
      <xdr:rowOff>115454</xdr:rowOff>
    </xdr:from>
    <xdr:to>
      <xdr:col>34</xdr:col>
      <xdr:colOff>144317</xdr:colOff>
      <xdr:row>40</xdr:row>
      <xdr:rowOff>101022</xdr:rowOff>
    </xdr:to>
    <xdr:sp macro="" textlink="">
      <xdr:nvSpPr>
        <xdr:cNvPr id="82" name="TextBox 81">
          <a:extLst>
            <a:ext uri="{FF2B5EF4-FFF2-40B4-BE49-F238E27FC236}">
              <a16:creationId xmlns:a16="http://schemas.microsoft.com/office/drawing/2014/main" id="{00000000-0008-0000-0800-000052000000}"/>
            </a:ext>
          </a:extLst>
        </xdr:cNvPr>
        <xdr:cNvSpPr txBox="1"/>
      </xdr:nvSpPr>
      <xdr:spPr>
        <a:xfrm>
          <a:off x="19184740" y="7793181"/>
          <a:ext cx="35309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FILTER</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PANEL</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389659</xdr:colOff>
      <xdr:row>41</xdr:row>
      <xdr:rowOff>14431</xdr:rowOff>
    </xdr:from>
    <xdr:to>
      <xdr:col>14</xdr:col>
      <xdr:colOff>476249</xdr:colOff>
      <xdr:row>58</xdr:row>
      <xdr:rowOff>43296</xdr:rowOff>
    </xdr:to>
    <xdr:graphicFrame macro="">
      <xdr:nvGraphicFramePr>
        <xdr:cNvPr id="83" name="Chart 82">
          <a:extLst>
            <a:ext uri="{FF2B5EF4-FFF2-40B4-BE49-F238E27FC236}">
              <a16:creationId xmlns:a16="http://schemas.microsoft.com/office/drawing/2014/main" id="{00000000-0008-0000-0800-00005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577273</xdr:colOff>
      <xdr:row>41</xdr:row>
      <xdr:rowOff>28863</xdr:rowOff>
    </xdr:from>
    <xdr:to>
      <xdr:col>22</xdr:col>
      <xdr:colOff>216477</xdr:colOff>
      <xdr:row>57</xdr:row>
      <xdr:rowOff>187614</xdr:rowOff>
    </xdr:to>
    <xdr:graphicFrame macro="">
      <xdr:nvGraphicFramePr>
        <xdr:cNvPr id="84" name="Chart 83">
          <a:extLst>
            <a:ext uri="{FF2B5EF4-FFF2-40B4-BE49-F238E27FC236}">
              <a16:creationId xmlns:a16="http://schemas.microsoft.com/office/drawing/2014/main" id="{00000000-0008-0000-08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389659</xdr:colOff>
      <xdr:row>41</xdr:row>
      <xdr:rowOff>14432</xdr:rowOff>
    </xdr:from>
    <xdr:to>
      <xdr:col>28</xdr:col>
      <xdr:colOff>303068</xdr:colOff>
      <xdr:row>58</xdr:row>
      <xdr:rowOff>0</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00000000-0008-0000-0800-00005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5141979" y="8137352"/>
              <a:ext cx="3936769" cy="33536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505114</xdr:colOff>
      <xdr:row>43</xdr:row>
      <xdr:rowOff>144317</xdr:rowOff>
    </xdr:from>
    <xdr:to>
      <xdr:col>31</xdr:col>
      <xdr:colOff>635001</xdr:colOff>
      <xdr:row>54</xdr:row>
      <xdr:rowOff>158750</xdr:rowOff>
    </xdr:to>
    <mc:AlternateContent xmlns:mc="http://schemas.openxmlformats.org/markup-compatibility/2006" xmlns:a14="http://schemas.microsoft.com/office/drawing/2010/main">
      <mc:Choice Requires="a14">
        <xdr:graphicFrame macro="">
          <xdr:nvGraphicFramePr>
            <xdr:cNvPr id="86" name="Education Field 2">
              <a:extLst>
                <a:ext uri="{FF2B5EF4-FFF2-40B4-BE49-F238E27FC236}">
                  <a16:creationId xmlns:a16="http://schemas.microsoft.com/office/drawing/2014/main" id="{00000000-0008-0000-0800-00005600000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9093296" y="8832272"/>
              <a:ext cx="2121478" cy="223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649432</xdr:colOff>
      <xdr:row>45</xdr:row>
      <xdr:rowOff>86595</xdr:rowOff>
    </xdr:from>
    <xdr:to>
      <xdr:col>34</xdr:col>
      <xdr:colOff>216477</xdr:colOff>
      <xdr:row>52</xdr:row>
      <xdr:rowOff>86592</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00000000-0008-0000-0800-000057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229205" y="9178640"/>
              <a:ext cx="1558636" cy="141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577273</xdr:colOff>
      <xdr:row>41</xdr:row>
      <xdr:rowOff>101022</xdr:rowOff>
    </xdr:from>
    <xdr:to>
      <xdr:col>31</xdr:col>
      <xdr:colOff>591704</xdr:colOff>
      <xdr:row>43</xdr:row>
      <xdr:rowOff>72159</xdr:rowOff>
    </xdr:to>
    <xdr:sp macro="" textlink="">
      <xdr:nvSpPr>
        <xdr:cNvPr id="88" name="TextBox 87">
          <a:extLst>
            <a:ext uri="{FF2B5EF4-FFF2-40B4-BE49-F238E27FC236}">
              <a16:creationId xmlns:a16="http://schemas.microsoft.com/office/drawing/2014/main" id="{00000000-0008-0000-0800-000058000000}"/>
            </a:ext>
          </a:extLst>
        </xdr:cNvPr>
        <xdr:cNvSpPr txBox="1"/>
      </xdr:nvSpPr>
      <xdr:spPr>
        <a:xfrm>
          <a:off x="19165455" y="8384886"/>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EDUCATION</a:t>
          </a:r>
          <a:r>
            <a:rPr lang="en-IN" sz="1600" baseline="0">
              <a:solidFill>
                <a:srgbClr val="0070C0"/>
              </a:solidFill>
              <a:latin typeface="Lato Black" panose="020F0502020204030203" pitchFamily="34" charset="0"/>
              <a:ea typeface="Lato Black" panose="020F0502020204030203" pitchFamily="34" charset="0"/>
              <a:cs typeface="Lato Black" panose="020F0502020204030203" pitchFamily="34" charset="0"/>
            </a:rPr>
            <a:t> fIELD</a:t>
          </a:r>
          <a:endPar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31</xdr:col>
      <xdr:colOff>639853</xdr:colOff>
      <xdr:row>42</xdr:row>
      <xdr:rowOff>187614</xdr:rowOff>
    </xdr:from>
    <xdr:to>
      <xdr:col>34</xdr:col>
      <xdr:colOff>654284</xdr:colOff>
      <xdr:row>44</xdr:row>
      <xdr:rowOff>158751</xdr:rowOff>
    </xdr:to>
    <xdr:sp macro="" textlink="">
      <xdr:nvSpPr>
        <xdr:cNvPr id="89" name="TextBox 88">
          <a:extLst>
            <a:ext uri="{FF2B5EF4-FFF2-40B4-BE49-F238E27FC236}">
              <a16:creationId xmlns:a16="http://schemas.microsoft.com/office/drawing/2014/main" id="{00000000-0008-0000-0800-000059000000}"/>
            </a:ext>
          </a:extLst>
        </xdr:cNvPr>
        <xdr:cNvSpPr txBox="1"/>
      </xdr:nvSpPr>
      <xdr:spPr>
        <a:xfrm>
          <a:off x="21219626" y="867352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twoCellAnchor>
    <xdr:from>
      <xdr:col>7</xdr:col>
      <xdr:colOff>639855</xdr:colOff>
      <xdr:row>21</xdr:row>
      <xdr:rowOff>144318</xdr:rowOff>
    </xdr:from>
    <xdr:to>
      <xdr:col>10</xdr:col>
      <xdr:colOff>654286</xdr:colOff>
      <xdr:row>23</xdr:row>
      <xdr:rowOff>115456</xdr:rowOff>
    </xdr:to>
    <xdr:sp macro="" textlink="">
      <xdr:nvSpPr>
        <xdr:cNvPr id="90" name="TextBox 89">
          <a:extLst>
            <a:ext uri="{FF2B5EF4-FFF2-40B4-BE49-F238E27FC236}">
              <a16:creationId xmlns:a16="http://schemas.microsoft.com/office/drawing/2014/main" id="{00000000-0008-0000-0800-00005A000000}"/>
            </a:ext>
          </a:extLst>
        </xdr:cNvPr>
        <xdr:cNvSpPr txBox="1"/>
      </xdr:nvSpPr>
      <xdr:spPr>
        <a:xfrm>
          <a:off x="5286900" y="438727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GENDER</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0.26097</cdr:x>
      <cdr:y>0.37283</cdr:y>
    </cdr:from>
    <cdr:to>
      <cdr:x>0.7426</cdr:x>
      <cdr:y>0.87736</cdr:y>
    </cdr:to>
    <cdr:sp macro="" textlink="'Gender and education'!$C$9">
      <cdr:nvSpPr>
        <cdr:cNvPr id="2" name="TextBox 70">
          <a:extLst xmlns:a="http://schemas.openxmlformats.org/drawingml/2006/main">
            <a:ext uri="{FF2B5EF4-FFF2-40B4-BE49-F238E27FC236}">
              <a16:creationId xmlns:a16="http://schemas.microsoft.com/office/drawing/2014/main" id="{5394ED42-8146-4A34-AFEE-045381118419}"/>
            </a:ext>
          </a:extLst>
        </cdr:cNvPr>
        <cdr:cNvSpPr txBox="1"/>
      </cdr:nvSpPr>
      <cdr:spPr>
        <a:xfrm xmlns:a="http://schemas.openxmlformats.org/drawingml/2006/main">
          <a:off x="426027" y="570345"/>
          <a:ext cx="786246" cy="77181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E2ABDF0-4DCC-49ED-8270-EB418715681C}"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60%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43.723983564814" createdVersion="8" refreshedVersion="8" minRefreshableVersion="3" recordCount="1470" xr:uid="{4B365EA1-AB1B-48DF-8EE8-AF8B1F05BAEF}">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7522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2ED54-1F08-4E9B-A0D1-FCF8D9E4176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1781775256"/>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A2D8F3-1E0F-4965-BC1F-FE2CDDE15E55}"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1781775256"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E44C5A-28B8-4D76-9CB0-C4A69DB284E1}" name="Education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2"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A47EC2-7A40-4B70-8551-BC455D54AFE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2AA134-1F7E-4E95-B5DA-4F9149FF24AE}"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1E4A83-30B6-471D-A5F8-9CC825E74B48}"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EC2B3C-A10F-408F-9297-D38524D23CE2}"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EBA5F5-C54E-4B42-AACB-7CBC138EF582}"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8"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6481BB14-1B63-4491-A602-B07E84580273}" sourceName="Education Field">
  <pivotTables>
    <pivotTable tabId="9" name="Gender"/>
    <pivotTable tabId="12" name="Attrition by age group"/>
    <pivotTable tabId="12" name="Attrition by marital status"/>
    <pivotTable tabId="10" name="attrition by job role"/>
    <pivotTable tabId="11" name="Department wise attrition"/>
    <pivotTable tabId="9" name="Education wise attrition"/>
    <pivotTable tabId="7" name="KPI"/>
    <pivotTable tabId="8" name="Rating"/>
  </pivotTables>
  <data>
    <tabular pivotCacheId="1877522886">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94D3DFF-B3A2-4F6B-9C04-5B9EAD98B2D4}" sourceName="Gender">
  <pivotTables>
    <pivotTable tabId="9" name="Gender"/>
    <pivotTable tabId="12" name="Attrition by age group"/>
    <pivotTable tabId="12" name="Attrition by marital status"/>
    <pivotTable tabId="10" name="attrition by job role"/>
    <pivotTable tabId="11" name="Department wise attrition"/>
    <pivotTable tabId="7" name="KPI"/>
    <pivotTable tabId="8" name="Rating"/>
    <pivotTable tabId="9" name="Education wise attrition"/>
  </pivotTables>
  <data>
    <tabular pivotCacheId="18775228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6D2BF56-E7E8-4748-8B1C-E62453E9389A}" sourceName="Department">
  <pivotTables>
    <pivotTable tabId="11" name="Department wise attrition"/>
    <pivotTable tabId="12" name="Attrition by age group"/>
    <pivotTable tabId="12" name="Attrition by marital status"/>
    <pivotTable tabId="10" name="attrition by job role"/>
    <pivotTable tabId="9" name="Gender"/>
    <pivotTable tabId="7" name="KPI"/>
    <pivotTable tabId="8" name="Rating"/>
    <pivotTable tabId="9" name="Education wise attrition"/>
  </pivotTables>
  <data>
    <tabular pivotCacheId="187752288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AA7039-4F97-43CC-B214-F34E59ABCEDA}"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42B9006-03F5-4025-AB16-08BF18BB46D7}" cache="Slicer_Education_Field1" caption="Education Field" rowHeight="262466"/>
  <slicer name="Gender 1" xr10:uid="{0C579B78-8915-4B39-8195-21BA6F31CE2F}" cache="Slicer_Gender2"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CFFB1401-21A1-45BE-839F-8B2928996A6E}" cache="Slicer_Education_Field1" caption="Education Field" rowHeight="262466"/>
  <slicer name="Gender 2" xr10:uid="{85048A2E-EE63-423F-B8F9-F38DEF37E7EA}" cache="Slicer_Gender2"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6477C50-A4AC-464C-9BF2-8BF47B069E54}" cache="Slicer_Department" caption="Department"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987AAAB7-E1C5-4ED7-9EB0-23BE55057FFA}" cache="Slicer_Education_Field1" style="Slicer1" rowHeight="262466"/>
  <slicer name="Gender 3" xr10:uid="{70469215-15C1-4E88-8869-C1D03904AF8B}" cache="Slicer_Gender2" columnCount="2" style="Slicer1" rowHeight="360000"/>
  <slicer name="Department 1" xr10:uid="{35F4744D-FAFA-4043-A782-3474FE6B5ECB}" cache="Slicer_Department" style="Slicer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3616-A781-46E3-9B6A-EC2899E0FAC6}">
  <dimension ref="A3:E7"/>
  <sheetViews>
    <sheetView workbookViewId="0">
      <selection activeCell="J9" sqref="J9"/>
    </sheetView>
  </sheetViews>
  <sheetFormatPr defaultRowHeight="15.6" x14ac:dyDescent="0.3"/>
  <cols>
    <col min="1" max="1" width="24.19921875" bestFit="1" customWidth="1"/>
    <col min="2" max="2" width="22.296875" bestFit="1" customWidth="1"/>
    <col min="3" max="3" width="13.3984375" bestFit="1" customWidth="1"/>
    <col min="4" max="4" width="15.19921875" bestFit="1" customWidth="1"/>
    <col min="5" max="5" width="12.19921875" bestFit="1" customWidth="1"/>
  </cols>
  <sheetData>
    <row r="3" spans="1:5" x14ac:dyDescent="0.3">
      <c r="A3" t="s">
        <v>1554</v>
      </c>
      <c r="B3" t="s">
        <v>1555</v>
      </c>
      <c r="C3" t="s">
        <v>1556</v>
      </c>
    </row>
    <row r="4" spans="1:5" x14ac:dyDescent="0.3">
      <c r="A4">
        <v>1470</v>
      </c>
      <c r="B4">
        <v>237</v>
      </c>
      <c r="C4">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2">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CA77-AF0E-42F2-8A0E-405C4BD316E7}">
  <dimension ref="A3:B10"/>
  <sheetViews>
    <sheetView workbookViewId="0">
      <selection activeCell="E15" sqref="E15"/>
    </sheetView>
  </sheetViews>
  <sheetFormatPr defaultRowHeight="15.6" x14ac:dyDescent="0.3"/>
  <cols>
    <col min="1" max="1" width="23.3984375" bestFit="1" customWidth="1"/>
  </cols>
  <sheetData>
    <row r="3" spans="1:2" x14ac:dyDescent="0.3">
      <c r="A3" t="s">
        <v>1562</v>
      </c>
    </row>
    <row r="4" spans="1:2" x14ac:dyDescent="0.3">
      <c r="A4" s="1">
        <v>2.6265306122448981</v>
      </c>
    </row>
    <row r="6" spans="1:2" x14ac:dyDescent="0.3">
      <c r="A6" t="s">
        <v>1563</v>
      </c>
      <c r="B6" s="1">
        <f>GETPIVOTDATA("Job Satisfaction",$A$3)</f>
        <v>2.6265306122448981</v>
      </c>
    </row>
    <row r="7" spans="1:2" x14ac:dyDescent="0.3">
      <c r="A7" t="s">
        <v>1564</v>
      </c>
      <c r="B7" s="1">
        <f>4-B6</f>
        <v>1.3734693877551019</v>
      </c>
    </row>
    <row r="9" spans="1:2" x14ac:dyDescent="0.3">
      <c r="A9" t="s">
        <v>1565</v>
      </c>
      <c r="B9">
        <f>B6/4</f>
        <v>0.65663265306122454</v>
      </c>
    </row>
    <row r="10" spans="1:2" x14ac:dyDescent="0.3">
      <c r="B10">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F901-9421-4F25-9C40-28C7D017F5BB}">
  <dimension ref="A3:D22"/>
  <sheetViews>
    <sheetView workbookViewId="0">
      <selection activeCell="B18" sqref="B18"/>
    </sheetView>
  </sheetViews>
  <sheetFormatPr defaultRowHeight="15.6" x14ac:dyDescent="0.3"/>
  <cols>
    <col min="1" max="1" width="15.59765625" bestFit="1" customWidth="1"/>
    <col min="2" max="2" width="22.296875" bestFit="1" customWidth="1"/>
    <col min="4" max="4" width="15.5" bestFit="1" customWidth="1"/>
  </cols>
  <sheetData>
    <row r="3" spans="1:3" x14ac:dyDescent="0.3">
      <c r="A3" s="6" t="s">
        <v>1566</v>
      </c>
      <c r="B3" t="s">
        <v>1568</v>
      </c>
    </row>
    <row r="4" spans="1:3" x14ac:dyDescent="0.3">
      <c r="A4" s="7" t="s">
        <v>51</v>
      </c>
      <c r="B4">
        <v>588</v>
      </c>
    </row>
    <row r="5" spans="1:3" x14ac:dyDescent="0.3">
      <c r="A5" s="7" t="s">
        <v>62</v>
      </c>
      <c r="B5">
        <v>882</v>
      </c>
    </row>
    <row r="6" spans="1:3" x14ac:dyDescent="0.3">
      <c r="A6" s="7" t="s">
        <v>1567</v>
      </c>
      <c r="B6">
        <v>1470</v>
      </c>
    </row>
    <row r="8" spans="1:3" x14ac:dyDescent="0.3">
      <c r="A8" s="7" t="s">
        <v>51</v>
      </c>
      <c r="B8">
        <f>IFERROR(GETPIVOTDATA("Employee Count",$A$3,"Gender","Female"),0)</f>
        <v>588</v>
      </c>
      <c r="C8" s="3">
        <f>IFERROR(B8/($B$10),0)</f>
        <v>0.4</v>
      </c>
    </row>
    <row r="9" spans="1:3" x14ac:dyDescent="0.3">
      <c r="A9" s="7" t="s">
        <v>62</v>
      </c>
      <c r="B9">
        <f>IFERROR(GETPIVOTDATA("Employee Count",$A$3,"Gender","Male"),0)</f>
        <v>882</v>
      </c>
      <c r="C9" s="3">
        <f>IFERROR(B9/($B$10),0)</f>
        <v>0.6</v>
      </c>
    </row>
    <row r="10" spans="1:3" x14ac:dyDescent="0.3">
      <c r="B10">
        <f>GETPIVOTDATA("Employee Count",$A$3)</f>
        <v>1470</v>
      </c>
    </row>
    <row r="16" spans="1:3" x14ac:dyDescent="0.3">
      <c r="A16" s="6" t="s">
        <v>1566</v>
      </c>
      <c r="B16" t="s">
        <v>1555</v>
      </c>
    </row>
    <row r="17" spans="1:4" x14ac:dyDescent="0.3">
      <c r="A17" s="7" t="s">
        <v>134</v>
      </c>
      <c r="B17">
        <v>5</v>
      </c>
      <c r="D17" s="7"/>
    </row>
    <row r="18" spans="1:4" x14ac:dyDescent="0.3">
      <c r="A18" s="7" t="s">
        <v>65</v>
      </c>
      <c r="B18">
        <v>31</v>
      </c>
      <c r="D18" s="7"/>
    </row>
    <row r="19" spans="1:4" x14ac:dyDescent="0.3">
      <c r="A19" s="7" t="s">
        <v>55</v>
      </c>
      <c r="B19">
        <v>44</v>
      </c>
      <c r="D19" s="7"/>
    </row>
    <row r="20" spans="1:4" x14ac:dyDescent="0.3">
      <c r="A20" s="7" t="s">
        <v>71</v>
      </c>
      <c r="B20">
        <v>58</v>
      </c>
      <c r="D20" s="7"/>
    </row>
    <row r="21" spans="1:4" x14ac:dyDescent="0.3">
      <c r="A21" s="7" t="s">
        <v>77</v>
      </c>
      <c r="B21">
        <v>99</v>
      </c>
      <c r="D21" s="7"/>
    </row>
    <row r="22" spans="1:4" x14ac:dyDescent="0.3">
      <c r="A22" s="7" t="s">
        <v>1567</v>
      </c>
      <c r="B22">
        <v>237</v>
      </c>
      <c r="D22" s="7"/>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8E1E-DAA0-482F-9F58-20931BF1FB27}">
  <dimension ref="A3:E13"/>
  <sheetViews>
    <sheetView workbookViewId="0">
      <selection activeCell="I19" sqref="I19"/>
    </sheetView>
  </sheetViews>
  <sheetFormatPr defaultRowHeight="15.6" x14ac:dyDescent="0.3"/>
  <cols>
    <col min="1" max="1" width="22.796875" bestFit="1" customWidth="1"/>
    <col min="2" max="2" width="22.296875" bestFit="1" customWidth="1"/>
    <col min="4" max="4" width="22.796875" bestFit="1" customWidth="1"/>
  </cols>
  <sheetData>
    <row r="3" spans="1:5" x14ac:dyDescent="0.3">
      <c r="A3" s="6" t="s">
        <v>1566</v>
      </c>
      <c r="B3" t="s">
        <v>1555</v>
      </c>
      <c r="D3" t="s">
        <v>1570</v>
      </c>
      <c r="E3" t="s">
        <v>0</v>
      </c>
    </row>
    <row r="4" spans="1:5" x14ac:dyDescent="0.3">
      <c r="A4" s="7" t="s">
        <v>83</v>
      </c>
      <c r="B4">
        <v>9</v>
      </c>
      <c r="D4" t="str">
        <f>A4</f>
        <v>Healthcare Representative</v>
      </c>
      <c r="E4">
        <f>GETPIVOTDATA("CF_attrition count",$A$3,"Job Role","Healthcare Representative")</f>
        <v>9</v>
      </c>
    </row>
    <row r="5" spans="1:5" x14ac:dyDescent="0.3">
      <c r="A5" s="7" t="s">
        <v>163</v>
      </c>
      <c r="B5">
        <v>12</v>
      </c>
      <c r="D5" t="str">
        <f t="shared" ref="D5:D12" si="0">A5</f>
        <v>Human Resources</v>
      </c>
      <c r="E5">
        <f>GETPIVOTDATA("CF_attrition count",$A$3,"Job Role","Human Resources")</f>
        <v>12</v>
      </c>
    </row>
    <row r="6" spans="1:5" x14ac:dyDescent="0.3">
      <c r="A6" s="7" t="s">
        <v>68</v>
      </c>
      <c r="B6">
        <v>62</v>
      </c>
      <c r="D6" t="str">
        <f t="shared" si="0"/>
        <v>Laboratory Technician</v>
      </c>
      <c r="E6">
        <f>GETPIVOTDATA("CF_attrition count",$A$3,"Job Role","Laboratory Technician")</f>
        <v>62</v>
      </c>
    </row>
    <row r="7" spans="1:5" x14ac:dyDescent="0.3">
      <c r="A7" s="7" t="s">
        <v>95</v>
      </c>
      <c r="B7">
        <v>5</v>
      </c>
      <c r="D7" t="str">
        <f t="shared" si="0"/>
        <v>Manager</v>
      </c>
      <c r="E7">
        <f>GETPIVOTDATA("CF_attrition count",$A$3,"Job Role","Manager")</f>
        <v>5</v>
      </c>
    </row>
    <row r="8" spans="1:5" x14ac:dyDescent="0.3">
      <c r="A8" s="7" t="s">
        <v>81</v>
      </c>
      <c r="B8">
        <v>10</v>
      </c>
      <c r="D8" t="str">
        <f t="shared" si="0"/>
        <v>Manufacturing Director</v>
      </c>
      <c r="E8">
        <f>GETPIVOTDATA("CF_attrition count",$A$3,"Job Role","Manufacturing Director")</f>
        <v>10</v>
      </c>
    </row>
    <row r="9" spans="1:5" x14ac:dyDescent="0.3">
      <c r="A9" s="7" t="s">
        <v>101</v>
      </c>
      <c r="B9">
        <v>2</v>
      </c>
      <c r="D9" t="str">
        <f t="shared" si="0"/>
        <v>Research Director</v>
      </c>
      <c r="E9">
        <f>GETPIVOTDATA("CF_attrition count",$A$3,"Job Role","Research Director")</f>
        <v>2</v>
      </c>
    </row>
    <row r="10" spans="1:5" x14ac:dyDescent="0.3">
      <c r="A10" s="7" t="s">
        <v>63</v>
      </c>
      <c r="B10">
        <v>47</v>
      </c>
      <c r="D10" t="str">
        <f t="shared" si="0"/>
        <v>Research Scientist</v>
      </c>
      <c r="E10">
        <f>GETPIVOTDATA("CF_attrition count",$A$3,"Job Role","Research Scientist")</f>
        <v>47</v>
      </c>
    </row>
    <row r="11" spans="1:5" x14ac:dyDescent="0.3">
      <c r="A11" s="7" t="s">
        <v>52</v>
      </c>
      <c r="B11">
        <v>57</v>
      </c>
      <c r="D11" t="str">
        <f t="shared" si="0"/>
        <v>Sales Executive</v>
      </c>
      <c r="E11">
        <f>GETPIVOTDATA("CF_attrition count",$A$3,"Job Role","Sales Executive")</f>
        <v>57</v>
      </c>
    </row>
    <row r="12" spans="1:5" x14ac:dyDescent="0.3">
      <c r="A12" s="7" t="s">
        <v>99</v>
      </c>
      <c r="B12">
        <v>33</v>
      </c>
      <c r="D12" t="str">
        <f t="shared" si="0"/>
        <v>Sales Representative</v>
      </c>
      <c r="E12">
        <f>GETPIVOTDATA("CF_attrition count",$A$3,"Job Role","Sales Representative")</f>
        <v>33</v>
      </c>
    </row>
    <row r="13" spans="1:5" x14ac:dyDescent="0.3">
      <c r="A13" s="7" t="s">
        <v>1567</v>
      </c>
      <c r="B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9C9E-0BE0-4338-AEBB-05DBA2D09905}">
  <dimension ref="A3:B7"/>
  <sheetViews>
    <sheetView workbookViewId="0">
      <selection activeCell="B4" sqref="B4"/>
    </sheetView>
  </sheetViews>
  <sheetFormatPr defaultRowHeight="15.6" x14ac:dyDescent="0.3"/>
  <cols>
    <col min="1" max="1" width="12.19921875" bestFit="1" customWidth="1"/>
    <col min="2" max="2" width="22.296875" bestFit="1" customWidth="1"/>
  </cols>
  <sheetData>
    <row r="3" spans="1:2" x14ac:dyDescent="0.3">
      <c r="A3" s="6" t="s">
        <v>1566</v>
      </c>
      <c r="B3" t="s">
        <v>1555</v>
      </c>
    </row>
    <row r="4" spans="1:2" x14ac:dyDescent="0.3">
      <c r="A4" s="7" t="s">
        <v>161</v>
      </c>
      <c r="B4" s="8">
        <v>5.0632911392405063E-2</v>
      </c>
    </row>
    <row r="5" spans="1:2" x14ac:dyDescent="0.3">
      <c r="A5" s="7" t="s">
        <v>60</v>
      </c>
      <c r="B5" s="8">
        <v>0.56118143459915615</v>
      </c>
    </row>
    <row r="6" spans="1:2" x14ac:dyDescent="0.3">
      <c r="A6" s="7" t="s">
        <v>48</v>
      </c>
      <c r="B6" s="8">
        <v>0.3881856540084388</v>
      </c>
    </row>
    <row r="7" spans="1:2" x14ac:dyDescent="0.3">
      <c r="A7" s="7" t="s">
        <v>1567</v>
      </c>
      <c r="B7"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193C-C4F9-48F9-BFF1-64AE73F08A1F}">
  <dimension ref="A3:E18"/>
  <sheetViews>
    <sheetView workbookViewId="0">
      <selection activeCell="E23" sqref="E23"/>
    </sheetView>
  </sheetViews>
  <sheetFormatPr defaultRowHeight="15.6" x14ac:dyDescent="0.3"/>
  <cols>
    <col min="1" max="1" width="12.19921875" bestFit="1" customWidth="1"/>
    <col min="2" max="2" width="15.59765625" bestFit="1" customWidth="1"/>
    <col min="4" max="4" width="12.296875" bestFit="1" customWidth="1"/>
  </cols>
  <sheetData>
    <row r="3" spans="1:5" x14ac:dyDescent="0.3">
      <c r="A3" s="6" t="s">
        <v>1566</v>
      </c>
      <c r="B3" t="s">
        <v>1555</v>
      </c>
    </row>
    <row r="4" spans="1:5" x14ac:dyDescent="0.3">
      <c r="A4" s="7" t="s">
        <v>69</v>
      </c>
      <c r="B4">
        <v>112</v>
      </c>
    </row>
    <row r="5" spans="1:5" x14ac:dyDescent="0.3">
      <c r="A5" s="7" t="s">
        <v>46</v>
      </c>
      <c r="B5">
        <v>51</v>
      </c>
    </row>
    <row r="6" spans="1:5" x14ac:dyDescent="0.3">
      <c r="A6" s="7" t="s">
        <v>92</v>
      </c>
      <c r="B6">
        <v>38</v>
      </c>
    </row>
    <row r="7" spans="1:5" x14ac:dyDescent="0.3">
      <c r="A7" s="7" t="s">
        <v>58</v>
      </c>
      <c r="B7">
        <v>25</v>
      </c>
    </row>
    <row r="8" spans="1:5" x14ac:dyDescent="0.3">
      <c r="A8" s="7" t="s">
        <v>75</v>
      </c>
      <c r="B8">
        <v>11</v>
      </c>
    </row>
    <row r="9" spans="1:5" x14ac:dyDescent="0.3">
      <c r="A9" s="7" t="s">
        <v>1567</v>
      </c>
      <c r="B9">
        <v>237</v>
      </c>
    </row>
    <row r="14" spans="1:5" x14ac:dyDescent="0.3">
      <c r="A14" s="6" t="s">
        <v>1566</v>
      </c>
      <c r="B14" t="s">
        <v>1569</v>
      </c>
      <c r="D14" t="s">
        <v>10</v>
      </c>
      <c r="E14" t="s">
        <v>0</v>
      </c>
    </row>
    <row r="15" spans="1:5" x14ac:dyDescent="0.3">
      <c r="A15" s="7" t="s">
        <v>79</v>
      </c>
      <c r="B15">
        <v>327</v>
      </c>
      <c r="D15" t="str">
        <f>A15</f>
        <v>Divorced</v>
      </c>
      <c r="E15">
        <f>GETPIVOTDATA("Attrition",$A$14,"Marital Status",A15)</f>
        <v>327</v>
      </c>
    </row>
    <row r="16" spans="1:5" x14ac:dyDescent="0.3">
      <c r="A16" s="7" t="s">
        <v>53</v>
      </c>
      <c r="B16">
        <v>470</v>
      </c>
      <c r="D16" t="str">
        <f t="shared" ref="D16:D17" si="0">A16</f>
        <v>Single</v>
      </c>
      <c r="E16">
        <f t="shared" ref="E16:E17" si="1">GETPIVOTDATA("Attrition",$A$14,"Marital Status",A16)</f>
        <v>470</v>
      </c>
    </row>
    <row r="17" spans="1:5" x14ac:dyDescent="0.3">
      <c r="A17" s="7" t="s">
        <v>64</v>
      </c>
      <c r="B17">
        <v>673</v>
      </c>
      <c r="D17" t="str">
        <f t="shared" si="0"/>
        <v>Married</v>
      </c>
      <c r="E17">
        <f t="shared" si="1"/>
        <v>673</v>
      </c>
    </row>
    <row r="18" spans="1:5" x14ac:dyDescent="0.3">
      <c r="A18" s="7" t="s">
        <v>1567</v>
      </c>
      <c r="B18">
        <v>1470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topLeftCell="A2" zoomScale="86" zoomScaleNormal="86" workbookViewId="0">
      <selection activeCell="J19" sqref="J19"/>
    </sheetView>
  </sheetViews>
  <sheetFormatPr defaultRowHeight="15.6" x14ac:dyDescent="0.3"/>
  <cols>
    <col min="1" max="1" width="9.796875" customWidth="1"/>
    <col min="2" max="2" width="15.3984375" customWidth="1"/>
    <col min="3" max="3" width="13.296875" customWidth="1"/>
    <col min="4" max="4" width="17.59765625" bestFit="1" customWidth="1"/>
    <col min="5" max="5" width="12.796875" customWidth="1"/>
    <col min="6" max="6" width="15.5" customWidth="1"/>
    <col min="7" max="7" width="9" customWidth="1"/>
    <col min="8" max="8" width="18.09765625" customWidth="1"/>
    <col min="10" max="10" width="23.296875" bestFit="1" customWidth="1"/>
    <col min="11" max="11" width="14.3984375" customWidth="1"/>
    <col min="12" max="12" width="11.19921875" customWidth="1"/>
    <col min="14" max="14" width="22.79687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bestFit="1" customWidth="1"/>
    <col min="25" max="25" width="16.3984375" customWidth="1"/>
    <col min="26" max="26" width="23.59765625" customWidth="1"/>
    <col min="27" max="27" width="12.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C35" sqref="C35"/>
    </sheetView>
  </sheetViews>
  <sheetFormatPr defaultRowHeight="15.6"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BB133"/>
  <sheetViews>
    <sheetView showGridLines="0" tabSelected="1" zoomScale="44" zoomScaleNormal="44" workbookViewId="0">
      <selection activeCell="AK41" sqref="AK41"/>
    </sheetView>
  </sheetViews>
  <sheetFormatPr defaultRowHeight="15.6" x14ac:dyDescent="0.3"/>
  <sheetData>
    <row r="1" spans="1:5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row>
    <row r="2" spans="1:5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spans="1:5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5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spans="1:5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spans="1:5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spans="1:5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5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spans="1:5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spans="1:5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5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spans="1:5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1:5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spans="1:5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spans="1:5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spans="1:5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spans="1:5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5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spans="1:5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spans="1:5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spans="1:5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spans="1:5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spans="1:5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spans="1:5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spans="1:5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1:5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spans="1:5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1:5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spans="1:5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spans="1:5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spans="1:5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spans="1:5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spans="1:5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spans="1:5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spans="1:5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spans="1:5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spans="1:5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spans="1:5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spans="1:5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spans="1:5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spans="1:5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spans="1:5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spans="1:5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spans="1:5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spans="1:5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spans="1:5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spans="1:5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spans="1:5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spans="1:5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spans="1:5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spans="1:5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spans="1:5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spans="1:5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spans="1:5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spans="1:5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spans="1:5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spans="1:5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spans="1:5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spans="1:5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spans="1:5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spans="1:5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spans="1:5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spans="1:5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spans="1:5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spans="1:5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spans="1:5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spans="1:5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spans="1:5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spans="1:5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spans="1:5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spans="1:5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spans="1:5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spans="1:5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spans="1:5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spans="1:5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spans="1:5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spans="1:5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spans="1:5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spans="1:5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spans="1:5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spans="1:5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spans="1:5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spans="1:5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spans="1:5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spans="1:5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spans="1:5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spans="1:5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spans="1:5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spans="1:5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spans="1:5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spans="1:5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spans="1:5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spans="1:5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row r="122" spans="1:54"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spans="1:54"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spans="1:54"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spans="1:54"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row>
    <row r="126" spans="1:54"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row>
    <row r="127" spans="1:54"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row>
    <row r="128" spans="1:54"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row>
    <row r="129" spans="1:54"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row>
    <row r="130" spans="1:54"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row>
    <row r="131" spans="1:54"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row>
    <row r="132" spans="1:54"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row>
    <row r="133" spans="1:54"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Rating</vt:lpstr>
      <vt:lpstr>Gender and education</vt:lpstr>
      <vt:lpstr>Attrition by job role</vt:lpstr>
      <vt:lpstr>Department wise attrition</vt:lpstr>
      <vt:lpstr>Attrition by age group and MS</vt:lpstr>
      <vt:lpstr>Data</vt:lpstr>
      <vt:lpstr>Images</vt:lpstr>
      <vt:lpstr>Background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arvind pandey</cp:lastModifiedBy>
  <dcterms:created xsi:type="dcterms:W3CDTF">2022-12-29T16:02:46Z</dcterms:created>
  <dcterms:modified xsi:type="dcterms:W3CDTF">2025-11-14T16:55:58Z</dcterms:modified>
</cp:coreProperties>
</file>